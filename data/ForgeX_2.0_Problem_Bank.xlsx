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Problems" sheetId="2" r:id="rId6"/>
    <sheet state="visible" name="Tech stack" sheetId="3" r:id="rId7"/>
    <sheet state="visible" name="Summary" sheetId="4" r:id="rId8"/>
  </sheets>
  <definedNames>
    <definedName hidden="1" localSheetId="1" name="_xlnm._FilterDatabase">Problems!$A$1:$N$213</definedName>
  </definedNames>
  <calcPr/>
</workbook>
</file>

<file path=xl/sharedStrings.xml><?xml version="1.0" encoding="utf-8"?>
<sst xmlns="http://schemas.openxmlformats.org/spreadsheetml/2006/main" count="3101" uniqueCount="2306">
  <si>
    <t>ForgeX 2.0 Problem Bank</t>
  </si>
  <si>
    <t>Tags</t>
  </si>
  <si>
    <t>Tag</t>
  </si>
  <si>
    <t>Problems</t>
  </si>
  <si>
    <t>What it means</t>
  </si>
  <si>
    <t>Open to</t>
  </si>
  <si>
    <t>🔵 Rare</t>
  </si>
  <si>
    <t>One clear user and one painful job. The fastest route to a working product and first paying users.</t>
  </si>
  <si>
    <t>Guided, or Structured with mentor sign-off</t>
  </si>
  <si>
    <t>🟣 Epic</t>
  </si>
  <si>
    <t>A workflow product several types of users touch, with room to grow into a SaaS business.</t>
  </si>
  <si>
    <t>Guided and Structured</t>
  </si>
  <si>
    <t>🟠 Legendary</t>
  </si>
  <si>
    <t>Several stakeholders or harder tech such as voice, vision or agents, in a large market.</t>
  </si>
  <si>
    <t>Structured and Autonomous</t>
  </si>
  <si>
    <t>🔴 Mythic</t>
  </si>
  <si>
    <t>Frontier problems. Build one narrow slice brilliantly.</t>
  </si>
  <si>
    <t>Autonomous, with approval</t>
  </si>
  <si>
    <t>Total</t>
  </si>
  <si>
    <t>Autonomous students can also bring their own problem in the same format.</t>
  </si>
  <si>
    <t>Key dates</t>
  </si>
  <si>
    <t>Date</t>
  </si>
  <si>
    <t>What happens</t>
  </si>
  <si>
    <t>Oct 5, 10 am</t>
  </si>
  <si>
    <t>Bank released. Submit your top five by 8 pm.</t>
  </si>
  <si>
    <t>Oct 6, 9 am</t>
  </si>
  <si>
    <t>Allocations published. Swap window open until 9 am on Oct 7.</t>
  </si>
  <si>
    <t>Oct 7, 6 pm</t>
  </si>
  <si>
    <t>Gate 1: notes from five or more user conversations, today's workaround, why existing options fall short, the problem in your own words, your MVP bet with one metric, and how you'll reach your first 100 users.</t>
  </si>
  <si>
    <t>Oct 15, 6 pm</t>
  </si>
  <si>
    <t>Gate 2: a stranger completes your core flow on a live link without help.</t>
  </si>
  <si>
    <t>Oct 22</t>
  </si>
  <si>
    <t>Pitch and defend: a five-minute live demo and ten minutes of questions.</t>
  </si>
  <si>
    <t>Rules for every problem</t>
  </si>
  <si>
    <t>Until Oct 7 you can narrow the user, change the geography or reframe the pain, as long as your user conversations support it. After that, changes need your POC's approval.</t>
  </si>
  <si>
    <t>Out of scope because Hackathon 1 covered them: itinerary planners, ranking job applicants, drones and self-driving vehicles, patient record systems and satellite crop monitoring.</t>
  </si>
  <si>
    <t>Payments run in test mode, WhatsApp runs on test numbers, and health, finance or children's data stays de-identified or synthetic.</t>
  </si>
  <si>
    <t>Facts and company examples were current on Oct 4, 2026. Check anything you plan to quote in your pitch.</t>
  </si>
  <si>
    <t>ID</t>
  </si>
  <si>
    <t>Title</t>
  </si>
  <si>
    <t>Cluster</t>
  </si>
  <si>
    <t>Region</t>
  </si>
  <si>
    <t>Problem</t>
  </si>
  <si>
    <t>Who experiences it</t>
  </si>
  <si>
    <t>Why it matters</t>
  </si>
  <si>
    <t>Challenge</t>
  </si>
  <si>
    <t>North star metric</t>
  </si>
  <si>
    <t>Potential directions (examples only)</t>
  </si>
  <si>
    <t>Constraints</t>
  </si>
  <si>
    <t>Build expectation</t>
  </si>
  <si>
    <t>Tools to use</t>
  </si>
  <si>
    <t>P001</t>
  </si>
  <si>
    <t>The credit that never comes back</t>
  </si>
  <si>
    <t>A. SMB, commerce and retail</t>
  </si>
  <si>
    <t>India</t>
  </si>
  <si>
    <t>Distributors of FMCG, pharma and hardware extend 15 to 60 days of credit to hundreds of retailers and track it in Tally, notebooks and the salesman's memory. Collection depends on who remembers to ask, and disputes over short supply or scheme credits hold payments up for weeks.</t>
  </si>
  <si>
    <t>Owners of distributorships with a few hundred retail accounts and a handful of salesmen.</t>
  </si>
  <si>
    <t>Distributors finance much of India's retail trade out of their own working capital, and overdue receivables cap how much stock they can carry. Lenders want to fund this layer but can't see a distributor's real ledger.</t>
  </si>
  <si>
    <t>Help distributors collect faster without straining their relationships with retailers.</t>
  </si>
  <si>
    <t>Days sales outstanding on a real distributor's ledger.</t>
  </si>
  <si>
    <t>a morning collection plan ranked by risk and relationship; settling disputes with retailers over WhatsApp before they block payment; clean ledger data turned into credit limits a lender would accept.</t>
  </si>
  <si>
    <t>Ledgers sit in desktop Tally, retailers dislike formal reminders, and owners share their books only once they trust you.</t>
  </si>
  <si>
    <t>Import one anonymised ledger, generate daily collection plans and run them with one distributor for a week.</t>
  </si>
  <si>
    <t>Data: Google Sheets, Python + pandas in Colab, Metabase or Supabase dashboards; WhatsApp: WhatsApp Cloud API (test number), Interakt or Gupshup, n8n</t>
  </si>
  <si>
    <t>P002</t>
  </si>
  <si>
    <t>Stock that ages in the back room</t>
  </si>
  <si>
    <t>Regional apparel and footwear chains end every season with stock they bought too much of, sitting in the wrong stores. Markdowns and transfers happen on gut feel, usually after the stock has lost most of its value.</t>
  </si>
  <si>
    <t>Owners and merchandisers at chains with 3 to 30 stores.</t>
  </si>
  <si>
    <t>Inventory planning software exists for India's large retailers, while regional chains still plan on spreadsheets. Money stuck in old stock can't buy what's selling.</t>
  </si>
  <si>
    <t>Help regional chains get stock to the store and price where it will sell before it goes stale.</t>
  </si>
  <si>
    <t>Full-price sell-through on a pilot set of items.</t>
  </si>
  <si>
    <t>transfers suggested from local sell-through; markdown timing; buyers for lots that won't sell at all.</t>
  </si>
  <si>
    <t>Sales data is messy across sizes and colours, and store managers resist giving stock away.</t>
  </si>
  <si>
    <t>Load a real sales export, generate weekly actions for 100+ items and review them with one retailer.</t>
  </si>
  <si>
    <t>Data: Google Sheets, Python + pandas in Colab, Metabase or Supabase dashboards</t>
  </si>
  <si>
    <t>P003</t>
  </si>
  <si>
    <t>Quotes that arrive after the order is gone</t>
  </si>
  <si>
    <t>Sheet-metal, machining, packaging and print shops get enquiries as drawings, PDFs and WhatsApp photos. Pricing a job takes an estimator hours or days, and a wrong guess on material or machine time wipes out the margin.</t>
  </si>
  <si>
    <t>Owners and estimators at manufacturers with 10 to 200 people.</t>
  </si>
  <si>
    <t>Buyers give the order to whoever quotes first with a believable number. Quoting software for job shops is a venture-backed category in the US (Paperless Parts), and Zetwerk grew large on the same pain from the buyer's side.</t>
  </si>
  <si>
    <t>Help small manufacturers quote faster and more accurately.</t>
  </si>
  <si>
    <t>Hours from enquiry to quote sent.</t>
  </si>
  <si>
    <t>drawings read into a bill of materials the estimator can edit; a costing model that learns from past jobs.</t>
  </si>
  <si>
    <t>Every shop costs differently, drawing quality varies, and past job data is thin.</t>
  </si>
  <si>
    <t>Quote ten real enquiries from one shop and compare with the estimator's numbers.</t>
  </si>
  <si>
    <t>Docs: Claude (reads PDFs and photos), Google Document AI or AWS Textract; Data: Google Sheets, Python + pandas in Colab, Metabase or Supabase dashboards</t>
  </si>
  <si>
    <t>P004</t>
  </si>
  <si>
    <t>The supplier who raised prices without telling you</t>
  </si>
  <si>
    <t>Global</t>
  </si>
  <si>
    <t>Restaurants, clinics and small retailers buy from dozens of suppliers whose invoices change quietly: a higher rate, a smaller pack, an extra charge, a quantity that never arrived. Owners pay what the invoice says because nobody has time to check it against what was agreed.</t>
  </si>
  <si>
    <t>Owners and purchase managers at restaurants, retail chains and clinics.</t>
  </si>
  <si>
    <t>Spend-control software is a large category for big companies, and small businesses have none of it. AI can now read invoice photos well enough to compare every line with agreed rates.</t>
  </si>
  <si>
    <t>Help small businesses catch supplier overcharges before they pay.</t>
  </si>
  <si>
    <t>Rupees of overcharges caught per month at a pilot business.</t>
  </si>
  <si>
    <t>invoice photos checked against agreed rate cards; alerts on price creep by item; a monthly supplier scorecard.</t>
  </si>
  <si>
    <t>Handwritten invoices, rate agreements that live in people's heads, and supplier relationships.</t>
  </si>
  <si>
    <t>Check three months of real invoices for one business and quantify the overcharges.</t>
  </si>
  <si>
    <t>P005</t>
  </si>
  <si>
    <t>Deductions modern trade takes from every payment</t>
  </si>
  <si>
    <t>Emerging FMCG brands selling to DMart, Reliance Retail, More and regional supermarket chains rarely get paid the invoice amount. Retailers deduct for shortages, damages, expiry, promotions and listing fees, and brands can't match deductions to invoices or dispute them in time.</t>
  </si>
  <si>
    <t>Founders, finance and key-account teams at emerging FMCG and food brands, and their distributors.</t>
  </si>
  <si>
    <t>Deduction management is a funded software category for consumer brands in the US, where unresolved deductions cost a few percent of sales. Indian brands moving into modern trade face the same leak with nothing but spreadsheets.</t>
  </si>
  <si>
    <t>Help brands recover the deductions they shouldn't have taken.</t>
  </si>
  <si>
    <t>Value of invalid deductions recovered per month.</t>
  </si>
  <si>
    <t>matching remittances to invoices and proof of delivery; classifying each deduction as valid or disputable; dispute packs for the retailer.</t>
  </si>
  <si>
    <t>Remittance formats vary by retailer, proof of delivery is often on paper, and brands fear upsetting big buyers.</t>
  </si>
  <si>
    <t>Reconcile three months of one brand's modern-trade payments and file disputes for the invalid deductions.</t>
  </si>
  <si>
    <t>P006</t>
  </si>
  <si>
    <t>Out of stock in a dark store you can't see</t>
  </si>
  <si>
    <t>Emerging brands on Blinkit, Zepto and Instamart sell through hundreds of dark stores but see little store-level availability. A product can be missing in key neighbourhoods for days before anyone notices.</t>
  </si>
  <si>
    <t>Founders and supply teams at young FMCG and D2C brands.</t>
  </si>
  <si>
    <t>Quick commerce has become one of the main growth channels for new consumer brands in Indian cities. An empty listing loses the sale on the spot and drops the product down search results.</t>
  </si>
  <si>
    <t>Help brands catch and fix availability gaps across dark stores.</t>
  </si>
  <si>
    <t>Share of target dark stores where the hero product is in stock, tracked daily.</t>
  </si>
  <si>
    <t>availability monitoring by pin code; demand forecasts by micro-market that feed purchase orders; playbooks for distributors and platform managers.</t>
  </si>
  <si>
    <t>Platform data access is limited, and monitoring must follow platform terms.</t>
  </si>
  <si>
    <t>Map availability across 20+ locations for one real brand for a week and record the actions it led to.</t>
  </si>
  <si>
    <t>Data: Google Sheets, Python + pandas in Colab, Metabase or Supabase dashboards; Agents: Claude tool use and MCP, Playwright or Browserbase, Firecrawl</t>
  </si>
  <si>
    <t>P007</t>
  </si>
  <si>
    <t>Cash that leaks at the billing counter</t>
  </si>
  <si>
    <t>Regional retail chains, restaurants and pharmacies lose money at the counter through voided bills, unexplained discounts, fake returns and cash that never reaches the bank. Owners see only the daily total and catch problems months later, if ever.</t>
  </si>
  <si>
    <t>Owners and operations heads at chains with 3 to 50 outlets.</t>
  </si>
  <si>
    <t>Large retailers run loss-prevention analytics on every transaction, and small chains run on trust. Leakage of one or two percent of sales can equal a chain's whole profit.</t>
  </si>
  <si>
    <t>Help small chains spot and stop leakage at the billing counter.</t>
  </si>
  <si>
    <t>Suspicious transactions flagged and confirmed per outlet per week.</t>
  </si>
  <si>
    <t>exception reports from POS exports; patterns by cashier, shift and outlet; daily cash reconciliation against bank deposits.</t>
  </si>
  <si>
    <t>POS systems export differently, staff must be treated fairly, and owners need proof before acting.</t>
  </si>
  <si>
    <t>Analyse three months of POS data from one chain and review the flagged cases with the owner.</t>
  </si>
  <si>
    <t>P008</t>
  </si>
  <si>
    <t>Orders that arrive as voice notes and notebook photos</t>
  </si>
  <si>
    <t>Wholesalers get WhatsApp orders as voice notes in mixed languages, photos of handwritten lists and forwarded messages. Billing staff type everything in again, with mistakes.</t>
  </si>
  <si>
    <t>Wholesalers and distributors of groceries, hardware, pharma and stationery, and their billing staff.</t>
  </si>
  <si>
    <t>WhatsApp is the ordering system for much of India's B2B trade, and AI can now read voice notes and handwriting well enough to structure it. Wrong deliveries cause disputes, and peak-hour backlogs cap how many customers a trader can serve.</t>
  </si>
  <si>
    <t>Turn messy inbound orders into confirmed, correct orders with little manual work.</t>
  </si>
  <si>
    <t>Share of orders that reach the billing system with no human retyping.</t>
  </si>
  <si>
    <t>a WhatsApp intake that reads line items and confirms back; catalogue matching that understands local product names.</t>
  </si>
  <si>
    <t>Product names are colloquial, so catalogue mapping is the hard part, and WhatsApp API setup takes time.</t>
  </si>
  <si>
    <t>Process 100 real orders from one trader and run the confirmation loop live.</t>
  </si>
  <si>
    <t>WhatsApp: WhatsApp Cloud API (test number), Interakt or Gupshup, n8n; Voice: Sarvam AI, Deepgram or Whisper, ElevenLabs, Vapi or Retell, Exotel or Twilio</t>
  </si>
  <si>
    <t>P009</t>
  </si>
  <si>
    <t>A quarter of every delivery order goes to the app</t>
  </si>
  <si>
    <t>Middle East</t>
  </si>
  <si>
    <t>Restaurants in Dubai and Abu Dhabi depend on Talabat, Deliveroo and Careem for delivery and hand over a large commission on every order. Regulars who would happily order direct have no easy way to do it, and the restaurant never learns who they are.</t>
  </si>
  <si>
    <t>Owners of independent restaurants and small chains in the UAE. Indian restaurants face the same split with Swiggy and Zomato.</t>
  </si>
  <si>
    <t>Talabat listed on the Dubai Financial Market in December 2024, which shows how much value sits with the platform. Restaurants keep the food cost and give away both margin and the customer relationship.</t>
  </si>
  <si>
    <t>Help restaurants move repeat customers to direct ordering without losing reach.</t>
  </si>
  <si>
    <t>Share of repeat orders placed direct at a pilot restaurant.</t>
  </si>
  <si>
    <t>a direct-ordering link with WhatsApp confirmation and loyalty pricing; bringing past customers back through packaging and receipts.</t>
  </si>
  <si>
    <t>Platform contracts may limit pricing, restaurants need their own riders or a delivery partner, and customers like having one app.</t>
  </si>
  <si>
    <t>Set up direct ordering for one restaurant in the UAE or Bengaluru and track repeat orders for two weeks.</t>
  </si>
  <si>
    <t>WhatsApp: WhatsApp Cloud API (test number), Interakt or Gupshup, n8n; Payments: Razorpay or Stripe in test mode, Setu sandbox</t>
  </si>
  <si>
    <t>P010</t>
  </si>
  <si>
    <t>A year's rent in four cheques</t>
  </si>
  <si>
    <t>Tenants in the UAE usually pay a year's rent upfront or in one to four post-dated cheques. New arrivals and young professionals struggle to find that much cash, and landlords prefer fewer cheques because bounced ones are a headache.</t>
  </si>
  <si>
    <t>Tenants in Dubai and Abu Dhabi, landlords and property managers.</t>
  </si>
  <si>
    <t>Several UAE startups have raised funding to let tenants pay monthly while landlords still get the year upfront. The model works when tenant risk is priced well, and that risk data is the hard part.</t>
  </si>
  <si>
    <t>Make renting in the UAE affordable month to month without adding risk for landlords.</t>
  </si>
  <si>
    <t>Share of applicants a landlord accepts on monthly terms with no rise in missed payments.</t>
  </si>
  <si>
    <t>tenant risk assessment from salary and employer data; financing the gap between monthly payments and upfront cheques; guarantees for landlords.</t>
  </si>
  <si>
    <t>Central bank and real estate rules, Ejari registration, and access to salary data.</t>
  </si>
  <si>
    <t>Model the economics on realistic data and test the offer with ten tenants and three property managers online.</t>
  </si>
  <si>
    <t>Data: Google Sheets, Python + pandas in Colab, Metabase or Supabase dashboards; Payments: Razorpay or Stripe in test mode, Setu sandbox</t>
  </si>
  <si>
    <t>P011</t>
  </si>
  <si>
    <t>Two hundred order-taking calls a day</t>
  </si>
  <si>
    <t>Distributors of FMCG, pharma and building materials employ tele-callers who phone retailers every day to take orders. Calls run long, retailers forget items, and orders get written down wrong in a mix of Hindi, Kannada and English.</t>
  </si>
  <si>
    <t>Distributor owners and their tele-calling teams, and the retailers who order from them.</t>
  </si>
  <si>
    <t>Phone ordering still carries a large share of India's B2B trade, and voice AI in Indian languages became good and cheap enough for real calls in 2025. A voice agent that takes orders reliably could serve distributors across the country.</t>
  </si>
  <si>
    <t>Help distributors take accurate phone orders at scale.</t>
  </si>
  <si>
    <t>Share of order calls completed with a correct order and no human help.</t>
  </si>
  <si>
    <t>an outbound voice agent that calls retailers, suggests reorders and confirms the order; handoff to a human on hard calls; orders pushed into the billing system.</t>
  </si>
  <si>
    <t>Speech quality across languages and noisy shops, retailers' patience, and product names that vary by area.</t>
  </si>
  <si>
    <t>Run the agent on 50 real or role-played order calls using one distributor's catalogue.</t>
  </si>
  <si>
    <t>Voice: Sarvam AI, Deepgram or Whisper, ElevenLabs, Vapi or Retell, Exotel or Twilio; Data: Google Sheets, Python + pandas in Colab, Metabase or Supabase dashboards</t>
  </si>
  <si>
    <t>P012</t>
  </si>
  <si>
    <t>"Do you have this part?"</t>
  </si>
  <si>
    <t>Africa</t>
  </si>
  <si>
    <t>Auto parts dealers in Lagos's Ladipo market or Delhi's Kashmere Gate get asked for parts by photo, description or broken sample. Finding the exact part across makes, models and aftermarket equivalents depends on a few experienced staff.</t>
  </si>
  <si>
    <t>Spare-parts retailers, mechanics and their customers.</t>
  </si>
  <si>
    <t>The parts aftermarket is huge and fragmented in Africa and India, and online sellers like Boodmo have shown buyers will order online once identification is solved. Wrong parts mean returns and lost trust.</t>
  </si>
  <si>
    <t>Help parts sellers identify the right part quickly and with confidence.</t>
  </si>
  <si>
    <t>Share of real requests matched to the correct part number on the first try.</t>
  </si>
  <si>
    <t>identification from a photo plus vehicle details; a catalogue built from supplier price lists; ordering for mechanics.</t>
  </si>
  <si>
    <t>Catalogue data is fragmented and proprietary, vehicle variants multiply, and photos alone are unreliable.</t>
  </si>
  <si>
    <t>Build a catalogue for one vehicle family and identify parts for 30 real requests.</t>
  </si>
  <si>
    <t>Vision: Claude vision, Roboflow; Data: Google Sheets, Python + pandas in Colab, Metabase or Supabase dashboards</t>
  </si>
  <si>
    <t>P013</t>
  </si>
  <si>
    <t>Expired medicines and the credit note that never comes</t>
  </si>
  <si>
    <t>Chemists return expired and near-expiry medicines to distributors, who return them to manufacturers. Each step has its own rules and windows, credit notes take months, and a lot of stock is simply written off.</t>
  </si>
  <si>
    <t>Pharmacy owners, pharma distributors and manufacturers' returns teams.</t>
  </si>
  <si>
    <t>Expired stock is a steady loss across India's hundreds of thousands of chemists, and untracked returns create the risk of expired medicines being resold. Nobody tracks returns across the whole chain.</t>
  </si>
  <si>
    <t>Help chemists and distributors recover the value of expiring stock.</t>
  </si>
  <si>
    <t>Value of expired stock credited back per month at a pilot chemist.</t>
  </si>
  <si>
    <t>expiry tracking from billing data with early alerts; returns batched by each company's policy; credit-note tracking.</t>
  </si>
  <si>
    <t>Every company's returns policy differs, billing software varies, and drug regulations apply.</t>
  </si>
  <si>
    <t>Track expiries and returns for one chemist and one distributor for two weeks.</t>
  </si>
  <si>
    <t>Docs: Claude (reads PDFs and photos), Google Document AI or AWS Textract; WhatsApp: WhatsApp Cloud API (test number), Interakt or Gupshup, n8n</t>
  </si>
  <si>
    <t>P014</t>
  </si>
  <si>
    <t>A D2C brand that can't find a factory</t>
  </si>
  <si>
    <t>Young brands in skincare, snacks, apparel and home goods need contract manufacturers who accept small orders, keep quality steady and move fast. They find them through cold calls and referrals, and many launch late or switch factories after a bad batch.</t>
  </si>
  <si>
    <t>Founders of early D2C brands, and the small contract manufacturers who could serve them.</t>
  </si>
  <si>
    <t>India produces thousands of new consumer brands a year, and almost all outsource production. Zetwerk built a large business matching factories to big buyers, while small brands with small orders remain badly served.</t>
  </si>
  <si>
    <t>Help small brands find and manage reliable manufacturers.</t>
  </si>
  <si>
    <t>Days from brief to approved sample for a real brand.</t>
  </si>
  <si>
    <t>a vetted directory with real capacity and minimum-order data; sample and batch tracking; quality records that follow each factory.</t>
  </si>
  <si>
    <t>Factories guard capacity and pricing, quality is hard to verify remotely, and relationships matter.</t>
  </si>
  <si>
    <t>Match three real brands with manufacturers and track each brief to sample.</t>
  </si>
  <si>
    <t>P015</t>
  </si>
  <si>
    <t>Which designs actually sell?</t>
  </si>
  <si>
    <t>Family jewellers hold large inventories valued by gold weight but rarely track which designs, weights and price points move fastest. Reorders to karigars follow habit.</t>
  </si>
  <si>
    <t>Owners of independent and family jewellery stores.</t>
  </si>
  <si>
    <t>Independent jewellers still sell most of India's jewellery, and their stock is gold bought with expensive working capital. Mandatory hallmarking gave every piece a unique ID, which makes design-level tracking practical for the first time.</t>
  </si>
  <si>
    <t>Help jewellers understand and act on design-level demand.</t>
  </si>
  <si>
    <t>Days a piece sits in inventory before it sells.</t>
  </si>
  <si>
    <t>tagging designs from photos; sell-through by weight band and style; karigar reorder suggestions.</t>
  </si>
  <si>
    <t>Stock is recorded by weight rather than design, and owners guard their data.</t>
  </si>
  <si>
    <t>Tag 200 designs at one store and produce a sell-through report the owner acts on.</t>
  </si>
  <si>
    <t>P016</t>
  </si>
  <si>
    <t>Regional supermarkets sitting on unsold ad space</t>
  </si>
  <si>
    <t>Blinkit, Zepto, Amazon and Flipkart earn heavily from brands paying to be seen, while regional supermarket chains own shelves, screens, receipts and shopper data they never sell. Brands want to reach those shoppers but can't buy or measure it.</t>
  </si>
  <si>
    <t>Regional supermarket and pharmacy chains, and the FMCG brands that sell through them.</t>
  </si>
  <si>
    <t>Retail media is one of the fastest-growing advertising channels in the world, and in India it sits with a few large platforms. Regional chains could earn high-margin revenue from assets they already have.</t>
  </si>
  <si>
    <t>Help regional chains sell measurable advertising to brands.</t>
  </si>
  <si>
    <t>Brand campaigns sold and measured per chain per month.</t>
  </si>
  <si>
    <t>an inventory of in-store and digital placements; campaign booking for brands; sales-lift reports from billing data.</t>
  </si>
  <si>
    <t>Measurement needs clean POS data, chains have small teams, and brands want proof.</t>
  </si>
  <si>
    <t>Package the ad inventory for one chain and sell one pilot campaign to a brand.</t>
  </si>
  <si>
    <t>P017</t>
  </si>
  <si>
    <t>Forty vendors, one wedding, one exhausted planner</t>
  </si>
  <si>
    <t>Indian wedding planners coordinate decorators, caterers, photographers, artists and venues across several functions over WhatsApp and spreadsheets. One late change ripples through every vendor.</t>
  </si>
  <si>
    <t>Independent wedding and event planners and their vendors.</t>
  </si>
  <si>
    <t>India's wedding industry is one of the largest event markets in the world, and planners cap how many weddings they take because coordination doesn't scale. Software that planners rely on can also carry the vendor payments that flow through them.</t>
  </si>
  <si>
    <t>Help planners run more events with fewer coordination failures.</t>
  </si>
  <si>
    <t>Vendor changes confirmed within an hour during one real event.</t>
  </si>
  <si>
    <t>a run-sheet vendors confirm on WhatsApp; change alerts; vendor payments and deliverables in one place.</t>
  </si>
  <si>
    <t>Vendors won't install apps, peak season is chaotic, and families change their minds.</t>
  </si>
  <si>
    <t>Run coordination for one real event or function. The season starts in November.</t>
  </si>
  <si>
    <t>WhatsApp: WhatsApp Cloud API (test number), Interakt or Gupshup, n8n</t>
  </si>
  <si>
    <t>P018</t>
  </si>
  <si>
    <t>The customer got the parcel and still got a refund</t>
  </si>
  <si>
    <t>Small online merchants lose money to chargebacks, where a customer disputes a card payment after receiving the goods. Fighting each dispute means gathering tracking proof, messages and policies within tight deadlines, so most merchants give up.</t>
  </si>
  <si>
    <t>Small online stores in the US and Europe, and Indian brands selling cross-border.</t>
  </si>
  <si>
    <t>Chargeback management is a venture-backed category (Chargeflow and Justt both raised money), yet most small merchants still handle disputes by hand or not at all. Each lost dispute costs the order value plus a fee.</t>
  </si>
  <si>
    <t>Help small merchants win the disputes they should win.</t>
  </si>
  <si>
    <t>Share of disputes won for a pilot merchant.</t>
  </si>
  <si>
    <t>evidence packs built automatically from order, delivery and chat data; flagging repeat abusers before shipping.</t>
  </si>
  <si>
    <t>Card network rules, payment processor access, and the risk of fighting genuine complaints.</t>
  </si>
  <si>
    <t>Build evidence packs for 20 real or realistic disputes and review them with a merchant.</t>
  </si>
  <si>
    <t>Docs: Claude (reads PDFs and photos), Google Document AI or AWS Textract</t>
  </si>
  <si>
    <t>P019</t>
  </si>
  <si>
    <t>"Find me something like this fabric"</t>
  </si>
  <si>
    <t>Textile wholesalers in Surat, Tiruppur and Ludhiana hold thousands of fabric SKUs. Buyers send photos asking for something similar, and staff search through swatches and memory.</t>
  </si>
  <si>
    <t>Textile wholesalers and their buyers, mostly boutiques and garment makers.</t>
  </si>
  <si>
    <t>India's textile trade runs through these wholesale markets, and B2B textile platforms have raised money on the same problem. Whoever answers first gets the order.</t>
  </si>
  <si>
    <t>Help wholesalers match buyer requests to stock quickly.</t>
  </si>
  <si>
    <t>Minutes from a buyer's photo to a correct match sent back.</t>
  </si>
  <si>
    <t>visual similarity search over the trader's catalogue; catalogue capture from phone photos.</t>
  </si>
  <si>
    <t>Colour shifts in photos, constant SKU churn, and traders who guard their catalogues.</t>
  </si>
  <si>
    <t>Digitise 300+ SKUs from one wholesaler and test 30 buyer queries.</t>
  </si>
  <si>
    <t>Vision: Claude vision, Roboflow</t>
  </si>
  <si>
    <t>P020</t>
  </si>
  <si>
    <t>Permits that hold up every job</t>
  </si>
  <si>
    <t>US</t>
  </si>
  <si>
    <t>US contractors wait weeks or months for building permits for remodels, solar installs, HVAC work and new builds. Every city has different forms and codes, applications bounce back for small mistakes, and crews sit idle while they wait.</t>
  </si>
  <si>
    <t>Residential contractors, solar and HVAC installers, and permit expediters in the US.</t>
  </si>
  <si>
    <t>Permitting delays push back revenue on every job, and permit-software startups such as PermitFlow have raised venture funding. Most small contractors still handle permits by hand.</t>
  </si>
  <si>
    <t>Help contractors get permits approved faster.</t>
  </si>
  <si>
    <t>Days from application to approved permit.</t>
  </si>
  <si>
    <t>city-specific checklists and form filling; checking plans against local code before submission; status tracking across jurisdictions.</t>
  </si>
  <si>
    <t>Every jurisdiction differs, portals vary, and code interpretation needs a professional.</t>
  </si>
  <si>
    <t>Build the workflow for one permit type in one city and test it on five real or past applications with a contractor online.</t>
  </si>
  <si>
    <t>Docs: Claude (reads PDFs and photos), Google Document AI or AWS Textract; Agents: Claude tool use and MCP, Playwright or Browserbase, Firecrawl</t>
  </si>
  <si>
    <t>P021</t>
  </si>
  <si>
    <t>Paying per WhatsApp message to customers who never read them</t>
  </si>
  <si>
    <t>Indian D2C brands send offers, cart reminders and order updates on WhatsApp. Since Meta moved marketing messages to per-message pricing in July 2025, every broadcast has a visible cost, and most brands still blast their whole list with the same message.</t>
  </si>
  <si>
    <t>Founders and growth teams at D2C brands, and the agencies that run their WhatsApp marketing.</t>
  </si>
  <si>
    <t>WhatsApp converts better than any other channel for many Indian brands, and tools built on it, such as Interakt and Gallabox, have raised funding. Spend efficiency is now the open question.</t>
  </si>
  <si>
    <t>Help brands spend less per sale on WhatsApp marketing.</t>
  </si>
  <si>
    <t>Revenue per marketing message sent.</t>
  </si>
  <si>
    <t>deciding who should get which message; timing sends to past behaviour; replacing broadcasts with conversations that sell.</t>
  </si>
  <si>
    <t>Meta's policies and template approvals, opt-in rules and the DPDP Act.</t>
  </si>
  <si>
    <t>Run a two-week test with one brand comparing the new approach with its usual broadcasts.</t>
  </si>
  <si>
    <t>WhatsApp: WhatsApp Cloud API (test number), Interakt or Gupshup, n8n; Data: Google Sheets, Python + pandas in Colab, Metabase or Supabase dashboards</t>
  </si>
  <si>
    <t>P022</t>
  </si>
  <si>
    <t>Cashless claims that settle short</t>
  </si>
  <si>
    <t>B. Healthcare and wellbeing</t>
  </si>
  <si>
    <t>Small and mid-size hospitals run cashless insurance claims through TPAs and insurers. Pre-authorisations get queried, final bills get cut, and billing desks rarely know why or how to push back.</t>
  </si>
  <si>
    <t>Insurance desks at 30 to 200 bed hospitals and nursing homes, and their patients.</t>
  </si>
  <si>
    <t>Health insurance is growing fast in India, and the National Health Claims Exchange launched in 2024 is moving claims onto shared digital rails. Every deduction comes out of the hospital's margin or the patient's pocket at discharge.</t>
  </si>
  <si>
    <t>Help hospitals get claims approved and paid in full the first time.</t>
  </si>
  <si>
    <t>Average deduction per claim at a pilot hospital.</t>
  </si>
  <si>
    <t>checks against policy terms and insurer rules before submission; deduction patterns by insurer; query replies drafted with the evidence attached.</t>
  </si>
  <si>
    <t>Health data under the DPDP Act, insurer rules that change, no TPA APIs, and it must never help inflate claims.</t>
  </si>
  <si>
    <t>Analyse 30 de-identified claims at one hospital, find the main causes of deductions, and show a pre-check that would have caught them.</t>
  </si>
  <si>
    <t>P023</t>
  </si>
  <si>
    <t>The chronic medicine that's out of stock again</t>
  </si>
  <si>
    <t>Patients on long-term medicines for diabetes, thyroid or blood pressure buy from the same chemist every month. Independent chemists stock thousands of items and often run out of a regular's brand, so the patient goes elsewhere.</t>
  </si>
  <si>
    <t>Independent pharmacy owners and their chronic patients.</t>
  </si>
  <si>
    <t>Chronic prescriptions are a chemist's steadiest revenue, and e-pharmacies target exactly those patients with reminders and discounts. Neighbourhood chemists still outnumber every chain but have no tools to keep those customers.</t>
  </si>
  <si>
    <t>Help independent chemists keep their chronic patients.</t>
  </si>
  <si>
    <t>Share of chronic patients who refill at the same chemist on time.</t>
  </si>
  <si>
    <t>refill calendars built from billing history; reminders with reserve-for-pickup; reorder suggestions to distributors.</t>
  </si>
  <si>
    <t>Prescription rules, distributor delivery cycles, billing software exports and patient consent.</t>
  </si>
  <si>
    <t>Map 50 chronic patients' refill cycles with one chemist and run reminders for two weeks.</t>
  </si>
  <si>
    <t>P024</t>
  </si>
  <si>
    <t>Ageing parents, children 2,000 km away</t>
  </si>
  <si>
    <t>Cross-border</t>
  </si>
  <si>
    <t>Millions of Indian parents live alone while their children work in other cities or abroad. Children hear about a fall, a missed bill or loneliness late, and arranging help from far away is exhausting.</t>
  </si>
  <si>
    <t>Adult children, often NRIs, and their parents over 65.</t>
  </si>
  <si>
    <t>India's over-60 population is growing fast and more of them live alone. Eldercare companies such as Emoha have raised money, and diaspora families already pay for peace of mind.</t>
  </si>
  <si>
    <t>Help families support ageing parents day to day while respecting their independence.</t>
  </si>
  <si>
    <t>Weekly check-in completion rate across pilot families.</t>
  </si>
  <si>
    <t>a daily voice check-in parents actually like; trusted local help on call; a shared family list of tasks and bills.</t>
  </si>
  <si>
    <t>Parents' dignity and consent, low comfort with technology, and liability in emergencies. This is daily living support, not a medical record.</t>
  </si>
  <si>
    <t>Run with five real families for ten days.</t>
  </si>
  <si>
    <t>Voice: Sarvam AI, Deepgram or Whisper, ElevenLabs, Vapi or Retell, Exotel or Twilio; WhatsApp: WhatsApp Cloud API (test number), Interakt or Gupshup, n8n</t>
  </si>
  <si>
    <t>P025</t>
  </si>
  <si>
    <t>Trials that can't find their patients</t>
  </si>
  <si>
    <t>Most clinical trials miss their enrolment targets. Eligibility criteria are long free text, sites screen patients by hand, and patients rarely hear about trials they qualify for.</t>
  </si>
  <si>
    <t>Trial coordinators, patient advocacy groups and patients with specific conditions.</t>
  </si>
  <si>
    <t>Each day of delay costs sponsors money and pushes back new treatments. Recruitment is one of the largest lines in a trial budget, and India is growing as a trial location.</t>
  </si>
  <si>
    <t>Help the right patients and trials find each other faster.</t>
  </si>
  <si>
    <t>Share of pre-screened patients a coordinator accepts as plausible matches.</t>
  </si>
  <si>
    <t>registry criteria turned into pre-screen questions; a pre-screener for one disease community; feasibility estimates for sites.</t>
  </si>
  <si>
    <t>Medical accuracy, HIPAA, GDPR and DPDP, no medical advice, and final eligibility stays a clinical call.</t>
  </si>
  <si>
    <t>Parse 50 trials in one disease area from ClinicalTrials.gov into pre-screeners and validate them with a coordinator.</t>
  </si>
  <si>
    <t>P026</t>
  </si>
  <si>
    <t>Home exercises nobody does</t>
  </si>
  <si>
    <t>Physiotherapy recovery depends on exercises done at home between sessions. Most patients do them rarely or wrongly, and the physio can't see what happens.</t>
  </si>
  <si>
    <t>Physiotherapists and clinics, and patients recovering from injury or surgery.</t>
  </si>
  <si>
    <t>Digital physiotherapy is a proven venture category, and Hinge Health went public in the US in 2025. Indian clinics have nothing comparable, and poor adherence wastes paid sessions.</t>
  </si>
  <si>
    <t>Help patients do the right exercises correctly between visits and let physios see progress.</t>
  </si>
  <si>
    <t>Prescribed sessions completed per patient per week.</t>
  </si>
  <si>
    <t>rep counting and form cues from the phone camera; plans a physio assigns in a minute; progress summaries before the next visit.</t>
  </si>
  <si>
    <t>Wrong feedback can cause injury, home settings vary, and video is private.</t>
  </si>
  <si>
    <t>Support three to five exercises and test with one physio and five patients for a week.</t>
  </si>
  <si>
    <t>Vision: Claude vision, Roboflow; Mobile: Progressive web app, Expo (React Native), MSG91 or Twilio SMS</t>
  </si>
  <si>
    <t>P027</t>
  </si>
  <si>
    <t>Clinics overpaying for gloves and syringes</t>
  </si>
  <si>
    <t>Small clinics, labs and nursing homes buy consumables from several local distributors at prices that vary widely. Owners rarely compare, and stockouts force emergency purchases at a premium.</t>
  </si>
  <si>
    <t>Owners and administrators of clinics and nursing homes.</t>
  </si>
  <si>
    <t>Medical supply platforms like Medikabazaar raised large rounds on this fragmentation, mostly serving bigger hospitals. Small clinics are the long tail nobody serves well.</t>
  </si>
  <si>
    <t>Help small healthcare providers buy consumables for less.</t>
  </si>
  <si>
    <t>Percentage saved on a month of real purchases.</t>
  </si>
  <si>
    <t>price benchmarks built from invoices across clinics; group buying; reorders based on actual usage.</t>
  </si>
  <si>
    <t>Doctors' brand preferences, distributor relationships and quality rules.</t>
  </si>
  <si>
    <t>Digitise three months of invoices from three clinics and quantify the savings.</t>
  </si>
  <si>
    <t>P028</t>
  </si>
  <si>
    <t>Kenya's new health insurer and the clinics still waiting to be paid</t>
  </si>
  <si>
    <t>Kenya replaced the NHIF with the Social Health Authority in October 2024. Private clinics and small hospitals have reported delayed and rejected claims under the new system, and many still run claims on paper and spreadsheets.</t>
  </si>
  <si>
    <t>Owners and claims staff at private clinics and small hospitals in Kenya, and the patients enrolled in the scheme.</t>
  </si>
  <si>
    <t>When public insurance becomes a facility's main payer, slow claims turn into a cash crisis. Other African countries are expanding public coverage in similar ways.</t>
  </si>
  <si>
    <t>Help clinics get paid correctly and on time under the new scheme.</t>
  </si>
  <si>
    <t>Days from discharge to claim payment at a pilot facility.</t>
  </si>
  <si>
    <t>claim checks against the scheme's rules before submission; tracking every claim's status; cash forecasts from pending claims.</t>
  </si>
  <si>
    <t>Scheme rules are still settling, Kenyan data protection law applies, and facilities have little IT.</t>
  </si>
  <si>
    <t>Map the claim rules, build the pre-check and test it on realistic claims with two Kenyan clinic administrators online. Indian PM-JAY hospitals are a workable proxy.</t>
  </si>
  <si>
    <t>P029</t>
  </si>
  <si>
    <t>Pharmacy First turned chemists into clinics</t>
  </si>
  <si>
    <t>Europe</t>
  </si>
  <si>
    <t>England's Pharmacy First service, launched in January 2024, lets community pharmacists treat seven common conditions and get paid by the NHS for each consultation. Independent pharmacies must follow clinical pathways, record consultations and claim correctly, mostly with software built for dispensing.</t>
  </si>
  <si>
    <t>Owners and pharmacists at independent pharmacies in England.</t>
  </si>
  <si>
    <t>Each consultation is new income for pharmacies squeezed on dispensing margins, and other countries are moving pharmacists into minor-illness care too. Missed or rejected claims are lost money.</t>
  </si>
  <si>
    <t>Help independent pharmacies deliver and claim consultations efficiently.</t>
  </si>
  <si>
    <t>Consultations claimed per week at a pilot pharmacy.</t>
  </si>
  <si>
    <t>guided pathways that record as the pharmacist works; claim checks before submission.</t>
  </si>
  <si>
    <t>NHS clinical rules, patient data protection and existing pharmacy systems.</t>
  </si>
  <si>
    <t>Build guided pathways for two conditions and test with three UK pharmacists online.</t>
  </si>
  <si>
    <t>P030</t>
  </si>
  <si>
    <t>What will my surgery in India actually cost?</t>
  </si>
  <si>
    <t>Patients from Africa, the Middle East and South Asia travel to India for surgery. They struggle to compare hospitals, get believable estimates and know what's included, so they rely on facilitators with hidden commissions.</t>
  </si>
  <si>
    <t>International patients, their families and hospital international desks.</t>
  </si>
  <si>
    <t>India is one of the largest medical travel destinations, and hospitals pay heavily for international patient leads. Patients risk overpaying or choosing badly.</t>
  </si>
  <si>
    <t>Help international patients choose treatment abroad with honest information.</t>
  </si>
  <si>
    <t>Share of enquiries that become confirmed admissions at a partner hospital.</t>
  </si>
  <si>
    <t>standard quote requests and comparison; a facilitator marketplace with disclosed fees; document and visa checklists.</t>
  </si>
  <si>
    <t>No medical advice, variable hospital pricing, and sensitive commissions. Itinerary planning is out of scope.</t>
  </si>
  <si>
    <t>Collect estimates for one procedure from five hospitals and test the comparison with five patients or facilitators.</t>
  </si>
  <si>
    <t>P031</t>
  </si>
  <si>
    <t>IVF: expensive, opaque, emotional</t>
  </si>
  <si>
    <t>Couples going through IVF face high costs, unclear success rates, complex protocols and constant appointments. Clinics differ widely, and most of the information is marketing.</t>
  </si>
  <si>
    <t>Couples considering or undergoing fertility treatment, and fertility clinics.</t>
  </si>
  <si>
    <t>Fertility care is one of the fastest-growing parts of Indian healthcare, and large IVF chains have raised money and expanded quickly. Couples spend lakhs per cycle with little help deciding.</t>
  </si>
  <si>
    <t>Help couples make treatment decisions and manage each cycle with clarity.</t>
  </si>
  <si>
    <t>Missed medication doses or appointments per cycle.</t>
  </si>
  <si>
    <t>cost and package comparison across clinics; a cycle planner for medicines and scans.</t>
  </si>
  <si>
    <t>Sensitive health data, no medical advice, India's ART Act, and an emotional context.</t>
  </si>
  <si>
    <t>Interview eight couples or counsellors and ship one tool used through a real or simulated cycle stage.</t>
  </si>
  <si>
    <t>P032</t>
  </si>
  <si>
    <t>The reimbursement claim rejected for a missing bill</t>
  </si>
  <si>
    <t>When treatment isn't cashless, families pay first and file a reimbursement claim with their insurer. Claims get rejected or cut for a missing original bill, a pharmacy receipt without a prescription, or a form filled wrongly, and families give up on money they're owed.</t>
  </si>
  <si>
    <t>Families with individual and employer health insurance, and HR teams handling group policies.</t>
  </si>
  <si>
    <t>Reimbursement claims are a large share of health claims in India, and rejections are a common complaint to the insurance ombudsman. Claim-assistance services charge a fee because the process is so confusing.</t>
  </si>
  <si>
    <t>Help families file complete reimbursement claims that get paid.</t>
  </si>
  <si>
    <t>Share of claims paid in full on the first submission.</t>
  </si>
  <si>
    <t>a document checklist built from the policy and the treatment; photo capture that flags missing papers; tracking claims and insurer queries.</t>
  </si>
  <si>
    <t>Sensitive health data, insurer rules, and no help inflating claims. Cashless claims at hospitals belong to P022.</t>
  </si>
  <si>
    <t>Help ten families prepare real or past claims and compare with what the insurer asked for.</t>
  </si>
  <si>
    <t>P033</t>
  </si>
  <si>
    <t>Nurse rosters built on spreadsheets and goodwill</t>
  </si>
  <si>
    <t>Hospitals schedule nurses by hand around skills, ratios, labour rules, preferences and leave. A few last-minute call-offs bring in expensive agency staff.</t>
  </si>
  <si>
    <t>Nurse managers, staffing coordinators and nurses in the US and India.</t>
  </si>
  <si>
    <t>The US nurse shortage drove a wave of venture-backed staffing and scheduling startups, and agency labour is one of a hospital's biggest costs. Indian hospitals face the same shortage as nurses move abroad.</t>
  </si>
  <si>
    <t>Help hospitals build fair, compliant schedules and fill gaps fast.</t>
  </si>
  <si>
    <t>Hours from a call-off to the shift being filled internally.</t>
  </si>
  <si>
    <t>constraint-based schedule generation; an internal open-shift marketplace; tracking fairness across the team.</t>
  </si>
  <si>
    <t>Union and labour rules, HR system integration and trust in automated assignments.</t>
  </si>
  <si>
    <t>Generate a month's roster for a realistic 30-nurse unit and have a nurse manager review it.</t>
  </si>
  <si>
    <t>P034</t>
  </si>
  <si>
    <t>The X-ray machine has been down for three weeks</t>
  </si>
  <si>
    <t>Hospitals and diagnostic centres in Africa and smaller Indian cities lose weeks of use when an X-ray, CT or ventilator breaks. Maintenance is reactive, parts arrive slowly and engineers are scarce.</t>
  </si>
  <si>
    <t>Owners and biomedical engineers at private hospitals and diagnostic centres.</t>
  </si>
  <si>
    <t>Every idle day on a scanner is lost revenue for a diagnostic centre and lost care for patients. Manufacturers dominate equipment service, which leaves multi-brand, smaller sites poorly served.</t>
  </si>
  <si>
    <t>Help facilities keep critical equipment running.</t>
  </si>
  <si>
    <t>Downtime days per machine per quarter.</t>
  </si>
  <si>
    <t>an equipment registry with fault logging over WhatsApp; troubleshooting guided by manuals; a marketplace for multi-brand engineers and parts.</t>
  </si>
  <si>
    <t>Manuals and parts are restricted, connectivity is poor and ownership is fragmented.</t>
  </si>
  <si>
    <t>Build the registry and fault flow and pilot it with one hospital's biomedical team.</t>
  </si>
  <si>
    <t>WhatsApp: WhatsApp Cloud API (test number), Interakt or Gupshup, n8n; Docs: Claude (reads PDFs and photos), Google Document AI or AWS Textract</t>
  </si>
  <si>
    <t>P035</t>
  </si>
  <si>
    <t>Health cover became mandatory for every worker in the UAE</t>
  </si>
  <si>
    <t>From January 2025, health insurance became mandatory for private-sector employees and domestic workers across the UAE, including the northern emirates. Small businesses and households that employ drivers, nannies or cleaners must buy compliant plans, and comparing them is confusing.</t>
  </si>
  <si>
    <t>SMEs, households that employ domestic workers, and the workers themselves.</t>
  </si>
  <si>
    <t>A mandate like this adds a large number of insured people almost overnight, and insurance distribution grows fastest at moments like these. Many employers simply pick the cheapest plan without knowing what it covers.</t>
  </si>
  <si>
    <t>Help small employers buy compliant cover their workers can actually use.</t>
  </si>
  <si>
    <t>Share of pilot employers who choose a compliant plan within a week.</t>
  </si>
  <si>
    <t>plan comparison built around the mandate's minimum cover; reminders tied to visa and renewal dates; claim help in the worker's language.</t>
  </si>
  <si>
    <t>Insurance licensing, differences between emirates, and workers' languages.</t>
  </si>
  <si>
    <t>Compare real plans for one emirate and test with ten employers or households online.</t>
  </si>
  <si>
    <t>P036</t>
  </si>
  <si>
    <t>Treatment plans patients say no to</t>
  </si>
  <si>
    <t>Dentists propose crowns, implants or aligners that many patients decline or postpone. Explanations are rushed, costs feel opaque and financing is unclear.</t>
  </si>
  <si>
    <t>Dental clinic owners, treatment coordinators and patients in the US, UAE and India.</t>
  </si>
  <si>
    <t>US dental AI startups such as Overjet and Pearl have raised large rounds, mostly on diagnosis. Getting patients to accept treatment is the revenue problem every clinic owner names first.</t>
  </si>
  <si>
    <t>Help patients understand and decide on recommended dental treatment.</t>
  </si>
  <si>
    <t>Treatment acceptance rate at a pilot clinic.</t>
  </si>
  <si>
    <t>visual, plain-language explanations of each plan; financing options shown upfront.</t>
  </si>
  <si>
    <t>No pressure selling, clinical accuracy and patient privacy.</t>
  </si>
  <si>
    <t>Pilot with one clinic on de-identified plans and measure acceptance and understanding.</t>
  </si>
  <si>
    <t>P037</t>
  </si>
  <si>
    <t>The same blood test at three different prices</t>
  </si>
  <si>
    <t>A thyroid profile or HbA1c test can cost very different amounts at labs a kilometre apart, and patients can't tell which labs are accredited or reliable. Doctors refer out of habit or for a referral fee.</t>
  </si>
  <si>
    <t>Patients paying out of pocket, doctors, and accredited mid-size labs.</t>
  </si>
  <si>
    <t>India's diagnostics market is large and fragmented, and online lab aggregators have raised funding. Patients overpay, and good independent labs lose volume to whoever pays referral fees.</t>
  </si>
  <si>
    <t>Help patients choose accredited labs at fair prices.</t>
  </si>
  <si>
    <t>Average saving per test booked through the product.</t>
  </si>
  <si>
    <t>price and accreditation comparison by area; home collection booking; reports explained in plain language.</t>
  </si>
  <si>
    <t>NABL accreditation data, lab participation, and no medical advice.</t>
  </si>
  <si>
    <t>Compare prices for 20 common tests across 15 Bengaluru labs and run bookings for two weeks.</t>
  </si>
  <si>
    <t>Data: Google Sheets, Python + pandas in Colab, Metabase or Supabase dashboards; Maps: Google Maps Platform, Mapbox, Ola Maps, OpenStreetMap</t>
  </si>
  <si>
    <t>P038</t>
  </si>
  <si>
    <t>"The phlebotomist didn't show up"</t>
  </si>
  <si>
    <t>Home sample collection for blood tests is popular but unreliable. Slots get missed, fasting patients wait for hours and samples sit in transit.</t>
  </si>
  <si>
    <t>Operations teams at diagnostic labs, and patients, many of them elderly.</t>
  </si>
  <si>
    <t>Home collection is now a large share of diagnostics revenue in Indian cities, and each missed slot means a repeat visit and often a lost customer. Mid-size labs run it on WhatsApp and phone calls.</t>
  </si>
  <si>
    <t>Make home collection reliable for patients and efficient for labs.</t>
  </si>
  <si>
    <t>Share of collections that arrive within the booked slot.</t>
  </si>
  <si>
    <t>route and slot planning; live arrival updates; sample transit tracking.</t>
  </si>
  <si>
    <t>Traffic, the sample cold chain and lab system integration.</t>
  </si>
  <si>
    <t>Re-plan one day of a small lab's real or realistic schedule and compare with what happened.</t>
  </si>
  <si>
    <t>Maps: Google Maps Platform, Mapbox, Ola Maps, OpenStreetMap</t>
  </si>
  <si>
    <t>P039</t>
  </si>
  <si>
    <t>Diabetes apps don't understand dosa</t>
  </si>
  <si>
    <t>Food-logging and glucose apps are built for Western diets. Indian meals are mixed dishes with variable portions, so people with diabetes can't see how their real meals affect glucose.</t>
  </si>
  <si>
    <t>People with type 2 diabetes or prediabetes, diabetes educators and dieticians.</t>
  </si>
  <si>
    <t>India has one of the world's largest diabetic populations, and metabolic health startups like Sugar.fit and Fitterfly have raised money. Cheaper glucose sensors make meal-level feedback possible.</t>
  </si>
  <si>
    <t>Help people learn how their real meals affect glucose and which small changes help.</t>
  </si>
  <si>
    <t>Meals logged per user per day.</t>
  </si>
  <si>
    <t>photo logging tuned to Indian dishes; meals paired with glucose readings; dashboards for educators.</t>
  </si>
  <si>
    <t>Not medical advice, rough portion estimates, no encouragement of restrictive eating, and health data privacy.</t>
  </si>
  <si>
    <t>Log meals with glucose readings for five users for a week and review the insights with a diabetes educator.</t>
  </si>
  <si>
    <t>P040</t>
  </si>
  <si>
    <t>Speech therapy happens 30 minutes a week</t>
  </si>
  <si>
    <t>Children with speech delays in India see a therapist rarely, often once a week. Progress depends on home practice, and parents don't know what to do or whether it's working.</t>
  </si>
  <si>
    <t>Parents of children with speech and language delays, and speech-language pathologists.</t>
  </si>
  <si>
    <t>There are far too few speech therapists for the number of children who need them, in India and in the US. Practice between sessions is where most progress happens.</t>
  </si>
  <si>
    <t>Help children practise well between sessions and help therapists see progress.</t>
  </si>
  <si>
    <t>Home practice minutes per child per week.</t>
  </si>
  <si>
    <t>playful voice practice in Indian languages; home programmes the therapist assigns; progress tracking from audio.</t>
  </si>
  <si>
    <t>Children's data and parental consent, recognising children's speech, and clinical oversight.</t>
  </si>
  <si>
    <t>Build practice for a few target sounds and test with one therapist and three to five families.</t>
  </si>
  <si>
    <t>Voice: Sarvam AI, Deepgram or Whisper, ElevenLabs, Vapi or Retell, Exotel or Twilio; Mobile: Progressive web app, Expo (React Native), MSG91 or Twilio SMS</t>
  </si>
  <si>
    <t>P041</t>
  </si>
  <si>
    <t>The hospital bill nobody can read</t>
  </si>
  <si>
    <t>US patients get medical bills with errors, duplicate charges and opaque codes. Most pay without checking because disputing a bill is confusing and slow.</t>
  </si>
  <si>
    <t>US patients and caregivers, especially those uninsured or on high-deductible plans.</t>
  </si>
  <si>
    <t>Medical debt is a leading cause of financial distress in the US, and price transparency rules now make hospitals publish their prices, which gives patients something to check against.</t>
  </si>
  <si>
    <t>Help patients understand their bills and get wrong charges removed.</t>
  </si>
  <si>
    <t>Dollars removed from patients' bills after disputes.</t>
  </si>
  <si>
    <t>itemised bills checked against published prices; dispute and negotiation letters; cross-checks with insurer statements.</t>
  </si>
  <si>
    <t>HIPAA, price data quality, and not legal advice.</t>
  </si>
  <si>
    <t>Analyse ten redacted bills shared with permission and file at least one real dispute.</t>
  </si>
  <si>
    <t>P042</t>
  </si>
  <si>
    <t>Working outdoors at 45°C</t>
  </si>
  <si>
    <t>Construction, delivery and farm workers in the Gulf and India work in extreme heat. The UAE bans midday outdoor work in summer, but real heat-stress risk depends on humidity, workload and the person, which site managers rarely track.</t>
  </si>
  <si>
    <t>Safety officers and HR at construction and logistics firms, and outdoor workers.</t>
  </si>
  <si>
    <t>Heatwaves are getting longer, and employers face growing legal and contractual pressure on heat safety. Workplace safety software is an established category with little built specifically for heat.</t>
  </si>
  <si>
    <t>Help employers protect outdoor workers from heat stress in practice.</t>
  </si>
  <si>
    <t>Share of high-risk hours in which a work-rest break was taken.</t>
  </si>
  <si>
    <t>site-level heat alerts with work-rest guidance; voice check-ins with workers in their own language; logs ready for audits.</t>
  </si>
  <si>
    <t>Worker privacy, multilingual crews and employer incentives.</t>
  </si>
  <si>
    <t>Build site-level alerts from weather data and test with one construction site or delivery fleet.</t>
  </si>
  <si>
    <t>Data: Google Sheets, Python + pandas in Colab, Metabase or Supabase dashboards; Voice: Sarvam AI, Deepgram or Whisper, ElevenLabs, Vapi or Retell, Exotel or Twilio</t>
  </si>
  <si>
    <t>P043</t>
  </si>
  <si>
    <t>Ten thousand unanswered doubts</t>
  </si>
  <si>
    <t>C. Education, skills and careers</t>
  </si>
  <si>
    <t>Coaching institutes for JEE, NEET and CA collect thousands of student doubts a day through apps and WhatsApp. Faculty answer a fraction, and generic AI answers are unreliable on multi-step physics, chemistry and maths with diagrams.</t>
  </si>
  <si>
    <t>Academic heads, faculty and students at coaching institutes.</t>
  </si>
  <si>
    <t>Test prep is one of the few Indian education markets that kept growing after 2022, mostly through offline and hybrid institutes. Unanswered doubts drive dropouts and refund requests.</t>
  </si>
  <si>
    <t>Help institutes resolve doubts accurately and fast.</t>
  </si>
  <si>
    <t>Share of doubts answered correctly within an hour, as judged by faculty.</t>
  </si>
  <si>
    <t>answers drafted from the institute's own solution bank and approved by faculty; grouping duplicate doubts; reading handwritten photos.</t>
  </si>
  <si>
    <t>Accuracy is non-negotiable, diagrams and handwriting are hard, and institutes protect their content.</t>
  </si>
  <si>
    <t>Answer 100 real doubts from one institute, with faculty grading accuracy.</t>
  </si>
  <si>
    <t>Vision: Claude vision, Roboflow; Docs: Claude (reads PDFs and photos), Google Document AI or AWS Textract</t>
  </si>
  <si>
    <t>P044</t>
  </si>
  <si>
    <t>300 handwritten answer sheets by Monday</t>
  </si>
  <si>
    <t>Teachers grade stacks of handwritten long answers against rubrics on evenings and weekends. Feedback is thin, and marks vary with the grader and their fatigue.</t>
  </si>
  <si>
    <t>Teachers and exam departments at schools, colleges and coaching institutes.</t>
  </si>
  <si>
    <t>Boards and universities are moving to on-screen marking, and handwriting recognition is finally good enough to help. A grading assistant becomes a recurring workflow in every institution that adopts it.</t>
  </si>
  <si>
    <t>Help teachers grade handwritten work faster and give better feedback while keeping their judgment.</t>
  </si>
  <si>
    <t>Agreement between suggested marks and an experienced teacher's marks.</t>
  </si>
  <si>
    <t>reading scanned sheets and suggesting marks against the rubric; consistency checks across graders; feedback drafts for each student.</t>
  </si>
  <si>
    <t>Handwriting variety and Indian languages, fairness and appeals. The teacher decides.</t>
  </si>
  <si>
    <t>One subject, one rubric and 50 anonymised sheets, with agreement measured against two teachers.</t>
  </si>
  <si>
    <t>P045</t>
  </si>
  <si>
    <t>Budget schools chasing fees</t>
  </si>
  <si>
    <t>Low-fee private schools in Kenya, Nigeria and India run on fees parents pay in irregular instalments. Tracking payments and chasing families takes hours, and teachers get paid late.</t>
  </si>
  <si>
    <t>Owners and bursars of low-fee private schools, and parents.</t>
  </si>
  <si>
    <t>Low-fee private schools educate a large share of children in these countries. School fee platforms such as Jodo and Varthana in India have raised money on exactly this problem.</t>
  </si>
  <si>
    <t>Help low-fee schools collect fees reliably without pushing families away.</t>
  </si>
  <si>
    <t>Share of term fees collected by the due date.</t>
  </si>
  <si>
    <t>instalment plans with mobile-money or UPI reminders; payment portals for parents; cash forecasts for the term.</t>
  </si>
  <si>
    <t>Irregular parent incomes, the sensitivity of sending children home, and different payment rails by country.</t>
  </si>
  <si>
    <t>Pilot with one school for two weeks.</t>
  </si>
  <si>
    <t>Payments: Razorpay or Stripe in test mode, Setu sandbox; WhatsApp: WhatsApp Cloud API (test number), Interakt or Gupshup, n8n</t>
  </si>
  <si>
    <t>P046</t>
  </si>
  <si>
    <t>Is studying abroad still worth it?</t>
  </si>
  <si>
    <t>Indian families spend tens of lakhs on foreign degrees. The US H-1B fee increase, cuts to the UK graduate route and Canadian study-permit caps make the return uncertain, and many consultants are paid by universities.</t>
  </si>
  <si>
    <t>Students and parents deciding on study abroad.</t>
  </si>
  <si>
    <t>India sends more students abroad than almost any other country, and loans for overseas study have become a large lending market. Families need honest return numbers before they borrow.</t>
  </si>
  <si>
    <t>Help families decide on study abroad with current, honest return-on-investment evidence.</t>
  </si>
  <si>
    <t>Share of families who change their shortlist after seeing the analysis.</t>
  </si>
  <si>
    <t>return modelling by course, country and loan; policy changes explained in plain words; alumni outcome data.</t>
  </si>
  <si>
    <t>Sparse, self-reported outcomes, fast-changing policy, and the pull to become another commission funnel.</t>
  </si>
  <si>
    <t>Model returns for 20 real course options and test with ten students or parents.</t>
  </si>
  <si>
    <t>P047</t>
  </si>
  <si>
    <t>Three attempts at the CA Final</t>
  </si>
  <si>
    <t>Lakhs of students prepare for the CA, CMA and CS exams every year, and pass rates at the final level are often low. Students write long answers that nobody marks between mock tests, so they repeat the same mistakes for months.</t>
  </si>
  <si>
    <t>CA, CMA, CS and ACCA students, and the faculty who coach them.</t>
  </si>
  <si>
    <t>Professional exam prep has high willingness to pay because passing changes a career, and each failed attempt costs about six months. AI can now evaluate written accounting and law answers against model answers.</t>
  </si>
  <si>
    <t>Help professional-exam students practise written answers with fast, reliable feedback.</t>
  </si>
  <si>
    <t>Marks gained on timed written answers over four weeks.</t>
  </si>
  <si>
    <t>written answers evaluated against ICAI-style marking schemes; spaced practice on weak topics; feedback that faculty can review.</t>
  </si>
  <si>
    <t>Marking is partly subjective, answer content is copyrighted, and faculty must check accuracy.</t>
  </si>
  <si>
    <t>Evaluate 100 real practice answers in one paper and compare with a faculty member's marks.</t>
  </si>
  <si>
    <t>P048</t>
  </si>
  <si>
    <t>Learning Japanese to work in a Japanese care home</t>
  </si>
  <si>
    <t>Workers from India, Nepal and the Philippines move to Japan, Germany and the Gulf for nursing, care and skilled trades. Visas often require language tests, and general language apps don't teach the language of the job.</t>
  </si>
  <si>
    <t>Aspiring migrant workers and the agencies that train and place them.</t>
  </si>
  <si>
    <t>Japan and Germany both opened visa routes for foreign care and skilled workers because of labour shortages, and India has mobility agreements with both. Placement agencies earn on every worker who passes.</t>
  </si>
  <si>
    <t>Help workers reach job-ready language faster.</t>
  </si>
  <si>
    <t>Score gain on a job-scenario speaking test after two weeks.</t>
  </si>
  <si>
    <t>voice role-play for workplace situations; test practice matched to visa requirements; dashboards for training centres.</t>
  </si>
  <si>
    <t>Recognising accented speech, cost for learners, and agencies with exploitative practices.</t>
  </si>
  <si>
    <t>Build scenarios for one job and one language and test with five learners or one training centre.</t>
  </si>
  <si>
    <t>Voice: Sarvam AI, Deepgram or Whisper, ElevenLabs, Vapi or Retell, Exotel or Twilio</t>
  </si>
  <si>
    <t>P049</t>
  </si>
  <si>
    <t>Choosing a daycare with nothing but a WhatsApp review</t>
  </si>
  <si>
    <t>Working parents in Indian cities pick preschools and daycares after one visit, a few reviews and word of mouth. They can't check safety practices, staff ratios or what children actually do all day.</t>
  </si>
  <si>
    <t>Working parents of children under six, and daycare and preschool operators.</t>
  </si>
  <si>
    <t>More dual-income families and the return to offices have made childcare a major urban need, and childcare chains such as Klay have raised money. Trust is the bottleneck for parents and for good operators.</t>
  </si>
  <si>
    <t>Help parents choose childcare they trust and help good centres prove their quality.</t>
  </si>
  <si>
    <t>Share of parents who would enrol based on the information shown.</t>
  </si>
  <si>
    <t>centre profiles with verified safety and ratio checks; daily updates parents can see; reviews tied to real enrolment.</t>
  </si>
  <si>
    <t>Children's privacy and photos, operator participation, and no single quality standard.</t>
  </si>
  <si>
    <t>Profile ten centres in one neighbourhood and test with 15 parents.</t>
  </si>
  <si>
    <t>P050</t>
  </si>
  <si>
    <t>Accreditation season at India's colleges</t>
  </si>
  <si>
    <t>Indian colleges go through NAAC and NBA accreditation, which needs years of data on faculty, students, research and outcomes. Most assemble it by hand under deadline, and the grade affects funding, admissions and reputation.</t>
  </si>
  <si>
    <t>Principals, quality-cell coordinators and administrators at colleges and universities.</t>
  </si>
  <si>
    <t>India has tens of thousands of colleges, and recent accreditation reforms push toward ongoing, data-driven assessment. Colleges already pay consultants to prepare.</t>
  </si>
  <si>
    <t>Help colleges keep accreditation data ready all year.</t>
  </si>
  <si>
    <t>Hours to compile a complete accreditation data submission.</t>
  </si>
  <si>
    <t>data pulled from existing college systems and forms; checks against accreditation criteria; evidence folders that stay current.</t>
  </si>
  <si>
    <t>Criteria keep changing, college data is scattered, and the submission has to stay honest.</t>
  </si>
  <si>
    <t>Build the data model for one criterion set and fill it for one real department.</t>
  </si>
  <si>
    <t>P051</t>
  </si>
  <si>
    <t>Universities paying agents for students who never show up</t>
  </si>
  <si>
    <t>Universities in the UK, Canada and Australia recruit many international students through agents paid per enrolment. Applications are often weak or fraudulent, and many admitted students never arrive or drop out after a term.</t>
  </si>
  <si>
    <t>International admissions teams at universities, and recruitment agents.</t>
  </si>
  <si>
    <t>International fees fund a large part of these universities' budgets, and governments have tightened rules on agents and visa fraud. ApplyBoard built a large company in this market.</t>
  </si>
  <si>
    <t>Help universities recruit international students who are genuine and likely to succeed.</t>
  </si>
  <si>
    <t>Share of offers that turn into students who complete the first term.</t>
  </si>
  <si>
    <t>document and credential checks; agent quality tracked over time; engagement before arrival that predicts who will turn up.</t>
  </si>
  <si>
    <t>Fairness to applicants, data protection across countries, and agent relationships.</t>
  </si>
  <si>
    <t>Analyse a realistic application dataset and test the checks with one admissions officer online.</t>
  </si>
  <si>
    <t>P052</t>
  </si>
  <si>
    <t>Nurses who need to pass the NCLEX to work abroad</t>
  </si>
  <si>
    <t>Thousands of Indian nurses want jobs in the US, UK, Ireland and the Gulf, which pay several times what Indian hospitals do. They must pass licensing and language exams such as the NCLEX and OET, and preparation is expensive and generic.</t>
  </si>
  <si>
    <t>Nursing graduates and working nurses in India, and the recruiters who place them abroad.</t>
  </si>
  <si>
    <t>Rich countries face lasting nurse shortages and recruit heavily from India and the Philippines. Each placement is worth a lot to recruiters, so they will pay for candidates who pass.</t>
  </si>
  <si>
    <t>Help nurses pass licensing and language exams faster.</t>
  </si>
  <si>
    <t>Practice-test score gain over four weeks.</t>
  </si>
  <si>
    <t>adaptive question practice on weak areas; AI-scored speaking and writing practice for the OET; dashboards for recruiters.</t>
  </si>
  <si>
    <t>Exam content is copyrighted, scoring must match official criteria, and nurses work long shifts.</t>
  </si>
  <si>
    <t>Build adaptive practice for one exam section and test with ten nurses.</t>
  </si>
  <si>
    <t>P053</t>
  </si>
  <si>
    <t>A teacher nobody has observed in years</t>
  </si>
  <si>
    <t>Teachers in budget private schools rarely get feedback on their teaching. Principals have no time to sit in classes, training is a few workshops a year, and nobody knows what actually happens in a lesson.</t>
  </si>
  <si>
    <t>Teachers, principals and owners of low-fee and mid-fee private schools.</t>
  </si>
  <si>
    <t>Teacher quality shapes learning more than almost anything else, and AI can now give useful feedback from classroom audio. TeachFX raised funding doing this in the US, and Indian schools have nothing similar.</t>
  </si>
  <si>
    <t>Help teachers get regular, specific feedback on their teaching.</t>
  </si>
  <si>
    <t>Share of teachers who change one practice after two weeks of feedback.</t>
  </si>
  <si>
    <t>feedback from recorded lessons on talk time, questions and pacing; short coaching tips in the teacher's language; principal dashboards.</t>
  </si>
  <si>
    <t>Classroom audio quality, teacher consent and trust, and children's privacy.</t>
  </si>
  <si>
    <t>Analyse ten recorded lessons from one school, with consent, and run two weeks of feedback.</t>
  </si>
  <si>
    <t>P054</t>
  </si>
  <si>
    <t>Practising the wrong thing for a week</t>
  </si>
  <si>
    <t>Music students see their teacher once a week and practise alone in between, often repeating mistakes in rhythm, pitch or technique.</t>
  </si>
  <si>
    <t>Instrument and vocal students and independent music teachers.</t>
  </si>
  <si>
    <t>Music learning apps such as Yousician and Simply have built large subscription businesses, almost entirely for Western music. Learners of Indian classical and film music have very little.</t>
  </si>
  <si>
    <t>Help students practise better between lessons.</t>
  </si>
  <si>
    <t>Practice sessions per student per week.</t>
  </si>
  <si>
    <t>audio feedback on practice clips, including ragas and talas; practice plans set by the teacher.</t>
  </si>
  <si>
    <t>Analysis accuracy across instruments and styles, and recording quality.</t>
  </si>
  <si>
    <t>Support one instrument or vocal style and test with one teacher and five students.</t>
  </si>
  <si>
    <t>P055</t>
  </si>
  <si>
    <t>₹5 lakh for a college admissions counsellor</t>
  </si>
  <si>
    <t>More Indian students apply to US and UK undergraduate programmes each year. Families pay private counsellors several lakh rupees for essay help, school lists and deadlines, and many students can't afford it.</t>
  </si>
  <si>
    <t>Class 11 and 12 students applying abroad, their parents and school counsellors.</t>
  </si>
  <si>
    <t>Admissions counselling is a large, fragmented market with high prices and uneven quality. AI can coach essays and planning for a fraction of the cost, as long as the student does the writing.</t>
  </si>
  <si>
    <t>Help students build strong applications without paying for premium counselling.</t>
  </si>
  <si>
    <t>Share of planned applications submitted on time with a reviewed essay.</t>
  </si>
  <si>
    <t>essay feedback that coaches without writing for the student; school lists built from profile and budget; deadline planning.</t>
  </si>
  <si>
    <t>Academic honesty, admissions policies on AI use, and the risk of generic essays.</t>
  </si>
  <si>
    <t>Work with ten applicants this cycle on essays and plans.</t>
  </si>
  <si>
    <t>P056</t>
  </si>
  <si>
    <t>Every company with ten staff needs a POSH committee</t>
  </si>
  <si>
    <t>India's POSH Act requires every workplace with ten or more employees to set up an internal committee, train staff and file annual reports. Many small and mid-size companies haven't done this properly, and the penalties and reputational risk are real.</t>
  </si>
  <si>
    <t>Founders, HR managers and committee members at SMEs and startups.</t>
  </si>
  <si>
    <t>In 2023 the Supreme Court directed authorities to check that these committees actually exist, and compliance training is a recurring annual spend for every covered company.</t>
  </si>
  <si>
    <t>Help small companies meet their POSH obligations properly.</t>
  </si>
  <si>
    <t>Share of employees who complete training and pass the check at a pilot company.</t>
  </si>
  <si>
    <t>training in local languages built on real scenarios; committee setup and annual filing; a safe complaint channel.</t>
  </si>
  <si>
    <t>The sensitivity of complaints, legal accuracy and confidentiality.</t>
  </si>
  <si>
    <t>Run training and committee setup for one real company.</t>
  </si>
  <si>
    <t>Docs: Claude (reads PDFs and photos), Google Document AI or AWS Textract; Voice: Sarvam AI, Deepgram or Whisper, ElevenLabs, Vapi or Retell, Exotel or Twilio</t>
  </si>
  <si>
    <t>P057</t>
  </si>
  <si>
    <t>Fighting for your child's IEP</t>
  </si>
  <si>
    <t>US parents of children with disabilities navigate Individualized Education Program meetings, legal rights and school bureaucracy. Many don't know what to ask for, and advocates are expensive.</t>
  </si>
  <si>
    <t>Parents of children with IEPs or 504 plans, and special-education advocates.</t>
  </si>
  <si>
    <t>Millions of US students have IEPs, and outcomes depend heavily on how well parents advocate. Parents already pay advocates and lawyers when they can afford it.</t>
  </si>
  <si>
    <t>Help parents prepare for and follow through on IEP processes.</t>
  </si>
  <si>
    <t>Share of parents who go into an IEP meeting with a written list of requests.</t>
  </si>
  <si>
    <t>plain-language explanations of IEP documents; meeting preparation and questions; tracking goals over the year.</t>
  </si>
  <si>
    <t>Not legal advice, student privacy law (FERPA), and an emotional context.</t>
  </si>
  <si>
    <t>Analyse five redacted IEPs shared with permission and test preparation tools with five parents.</t>
  </si>
  <si>
    <t>P058</t>
  </si>
  <si>
    <t>WAEC and JAMB prep on a cheap Android phone</t>
  </si>
  <si>
    <t>Millions of Nigerian students sit the WAEC and JAMB exams each year to finish school and enter university. Most can't afford coaching, mobile data is expensive, and many learn on shared, low-end phones.</t>
  </si>
  <si>
    <t>Secondary school students in Nigeria and Ghana, their parents and low-fee schools.</t>
  </si>
  <si>
    <t>These exams decide university places, and parents spend a lot on preparation relative to income. Edtech companies such as uLesson raised money in this market.</t>
  </si>
  <si>
    <t>Help students prepare well for national exams on cheap phones with little data.</t>
  </si>
  <si>
    <t>Mock exam score gain over four weeks.</t>
  </si>
  <si>
    <t>offline practice packs built from past questions; worked explanations that load on slow connections; progress views for schools.</t>
  </si>
  <si>
    <t>Data costs, device limits and syllabus alignment.</t>
  </si>
  <si>
    <t>Build an offline pack for one subject and test with students online or through a partner school.</t>
  </si>
  <si>
    <t>Mobile: Progressive web app, Expo (React Native), MSG91 or Twilio SMS</t>
  </si>
  <si>
    <t>P059</t>
  </si>
  <si>
    <t>Paying ₹17,000 to retake IELTS for half a band</t>
  </si>
  <si>
    <t>Lakhs of Indians take IELTS, PTE or TOEFL every year for study and work visas. Speaking and writing are where most lose marks, and practice with real feedback costs money and time.</t>
  </si>
  <si>
    <t>Students and workers applying abroad, and coaching centres.</t>
  </si>
  <si>
    <t>Each attempt costs roughly ₹17,000, and missing a target by half a band can block a visa. AI can now score speaking and writing practice close to examiner rubrics.</t>
  </si>
  <si>
    <t>Help test takers reach their target band in fewer attempts.</t>
  </si>
  <si>
    <t>Practice band score gain in speaking and writing over three weeks.</t>
  </si>
  <si>
    <t>speaking mock tests with band-level feedback; writing feedback against the official criteria.</t>
  </si>
  <si>
    <t>Scoring must track official rubrics, and test content is copyrighted.</t>
  </si>
  <si>
    <t>Take 15 learners through three weeks of practice.</t>
  </si>
  <si>
    <t>Voice: Sarvam AI, Deepgram or Whisper, ElevenLabs, Vapi or Retell, Exotel or Twilio; Docs: Claude (reads PDFs and photos), Google Document AI or AWS Textract</t>
  </si>
  <si>
    <t>P060</t>
  </si>
  <si>
    <t>Students who quietly drop out of coaching by December</t>
  </si>
  <si>
    <t>Coaching institutes for JEE, NEET and government exams lose many students mid-year. Attendance slips, test scores fall and fees stop, but institutes notice only when a refund request or an empty seat arrives.</t>
  </si>
  <si>
    <t>Owners, academic heads and counsellors at coaching institutes, and their students' parents.</t>
  </si>
  <si>
    <t>Test prep is a large, growing market, and every dropout means lost fees and a bad review. Institutes already hold the attendance and test data that shows who is struggling.</t>
  </si>
  <si>
    <t>Help institutes spot struggling students early and keep them.</t>
  </si>
  <si>
    <t>Share of at-risk students still enrolled after eight weeks.</t>
  </si>
  <si>
    <t>early-warning scores from attendance and test data; counsellor follow-ups; progress messages to parents.</t>
  </si>
  <si>
    <t>Student data privacy, fair treatment of struggling students, and data formats that differ by institute.</t>
  </si>
  <si>
    <t>Score one institute's past batch, check which predictions were right, and run follow-ups with a live batch for two weeks.</t>
  </si>
  <si>
    <t>P061</t>
  </si>
  <si>
    <t>Training budgets with nothing to show</t>
  </si>
  <si>
    <t>Companies spend heavily on training sales teams, managers and frontline staff, then measure attendance and course completion. Nobody can say whether people do their jobs differently afterwards.</t>
  </si>
  <si>
    <t>L&amp;D heads, sales enablement teams and the managers whose teams get trained.</t>
  </si>
  <si>
    <t>Corporate training is a very large global market, and budgets get cut wherever results can't be shown. AI role-play and on-the-job data make skill change measurable for the first time.</t>
  </si>
  <si>
    <t>Help companies prove and improve whether training changes behaviour at work.</t>
  </si>
  <si>
    <t>Change in one on-the-job behaviour measured before and after training.</t>
  </si>
  <si>
    <t>AI role-play assessments before and after training; linking training to CRM or call data; coaching nudges during real work.</t>
  </si>
  <si>
    <t>Access to performance data, employee privacy, and attributing change to training.</t>
  </si>
  <si>
    <t>Run one before-and-after skill assessment with a real sales or support team.</t>
  </si>
  <si>
    <t>P062</t>
  </si>
  <si>
    <t>Government money for apprentices that companies never claim</t>
  </si>
  <si>
    <t>India's apprenticeship schemes reimburse part of an apprentice's stipend, but many employers never register or never claim. The portal paperwork puts them off, and young people miss out on paid training.</t>
  </si>
  <si>
    <t>HR teams at manufacturers, retailers and service companies, and young job seekers.</t>
  </si>
  <si>
    <t>The government keeps expanding apprenticeships, and the 2024 budget added a large internship scheme with top companies. Employers who claim properly get cheaper talent, and staffing firms already run this as a business.</t>
  </si>
  <si>
    <t>Help employers hire apprentices and claim the support they're entitled to.</t>
  </si>
  <si>
    <t>Share of eligible stipend reimbursements claimed by a pilot employer.</t>
  </si>
  <si>
    <t>eligibility checks and help with portal registration; contract and stipend tracking; matching apprentices to employers.</t>
  </si>
  <si>
    <t>Portal rules and terms, changing scheme details, and fair treatment of apprentices.</t>
  </si>
  <si>
    <t>Take one employer through registration and a claim, or map the process with three employers.</t>
  </si>
  <si>
    <t>P063</t>
  </si>
  <si>
    <t>Class 6 students who can't do Class 3 maths</t>
  </si>
  <si>
    <t>National surveys such as ASER keep finding that many middle-school students can't do basic arithmetic or read a simple paragraph. Teachers teach the grade-level syllabus anyway, and those students fall further behind.</t>
  </si>
  <si>
    <t>Students in low-fee private and government schools, their teachers and the schools that pay for learning tools.</t>
  </si>
  <si>
    <t>Foundational learning is a national priority under NIPUN Bharat and the NEP, and low-fee private schools compete on results. Practice at a child's real level can close gaps that grade-level teaching can't.</t>
  </si>
  <si>
    <t>Help students catch up on foundational maths or reading at their actual level.</t>
  </si>
  <si>
    <t>Learning-level gain on a short diagnostic after two weeks.</t>
  </si>
  <si>
    <t>a quick diagnostic that places each child by level; adaptive practice in the local language; views for teachers grouped by level.</t>
  </si>
  <si>
    <t>Shared devices, local languages, and fitting into the school day.</t>
  </si>
  <si>
    <t>Run the diagnostic and two weeks of practice with one class at a low-fee school.</t>
  </si>
  <si>
    <t>Mobile: Progressive web app, Expo (React Native), MSG91 or Twilio SMS; Voice: Sarvam AI, Deepgram or Whisper, ElevenLabs, Vapi or Retell, Exotel or Twilio</t>
  </si>
  <si>
    <t>P064</t>
  </si>
  <si>
    <t>Rupee moves that wipe out a small importer's margin</t>
  </si>
  <si>
    <t>D. Money: fintech, insurance and cross-border</t>
  </si>
  <si>
    <t>Small importers and exporters price deals in dollars, euros or dirhams and settle weeks later. A few percent move in the rupee can erase the margin, and banks offer forward contracts mainly to larger customers.</t>
  </si>
  <si>
    <t>Owners and finance staff at small importers and exporters.</t>
  </si>
  <si>
    <t>India's MSME trade keeps growing, and currency swings have made FX risk a daily worry for small traders. Treasury tools for small businesses are a gap that banks and fintechs are only starting to fill.</t>
  </si>
  <si>
    <t>Help small traders understand and manage currency risk.</t>
  </si>
  <si>
    <t>Margin protected per shipment compared with doing nothing.</t>
  </si>
  <si>
    <t>exposure tracking from open invoices and orders; scenario views; comparing bank forward quotes.</t>
  </si>
  <si>
    <t>Not investment advice, RBI rules on hedging, and limited bank data access.</t>
  </si>
  <si>
    <t>Map one trader's currency exposure for three months and back-test simple hedging rules.</t>
  </si>
  <si>
    <t>P065</t>
  </si>
  <si>
    <t>The US duty bill that arrived after the sale</t>
  </si>
  <si>
    <t>The US ended duty-free entry for low-value parcels in 2025. Small Indian brands and artisans selling directly to US customers now face duties, broker fees and refused parcels they never priced in.</t>
  </si>
  <si>
    <t>Small exporters and D2C brands selling to US consumers through Etsy, Shopify or Amazon.</t>
  </si>
  <si>
    <t>Cross-border e-commerce from India to the US had grown on duty-free parcels. Sellers who solve landed cost keep the market while others pause.</t>
  </si>
  <si>
    <t>Help small cross-border sellers price, ship and comply profitably under the new US rules.</t>
  </si>
  <si>
    <t>Share of US orders delivered without a refused parcel or surprise charge.</t>
  </si>
  <si>
    <t>product classification and duty estimates; duties built into the price at checkout; consolidated shipping.</t>
  </si>
  <si>
    <t>Tariff rates keep changing, classification must be accurate, and carriers need integrating.</t>
  </si>
  <si>
    <t>Calculate landed cost for 20 real products from one seller and compare with actual shipments.</t>
  </si>
  <si>
    <t>Data: Google Sheets, Python + pandas in Colab, Metabase or Supabase dashboards; Docs: Claude (reads PDFs and photos), Google Document AI or AWS Textract</t>
  </si>
  <si>
    <t>P066</t>
  </si>
  <si>
    <t>The 45-day rule nobody enforces</t>
  </si>
  <si>
    <t>MSME suppliers to large companies often wait 90 days or more for payment. Section 43B(h) of the Income Tax Act pushes buyers to pay registered micro and small suppliers within 45 days, and TReDS platforms allow invoice discounting, yet few suppliers use either well.</t>
  </si>
  <si>
    <t>MSME suppliers to corporates and their finance staff.</t>
  </si>
  <si>
    <t>Late payment is one of the most common reasons MSMEs run short of cash, and larger companies are required to register on TReDS. The rails exist; small suppliers struggle to use them.</t>
  </si>
  <si>
    <t>Help MSMEs get paid on time and finance receivables cheaply.</t>
  </si>
  <si>
    <t>Average days to payment from corporate buyers for pilot suppliers.</t>
  </si>
  <si>
    <t>receivables tracking with alerts on legal payment terms; TReDS readiness; buyer messages that keep the relationship intact.</t>
  </si>
  <si>
    <t>Fear of upsetting big customers, Udyam registration status, and not legal advice.</t>
  </si>
  <si>
    <t>Map three MSMEs' receivables and run the workflow with them for two weeks.</t>
  </si>
  <si>
    <t>P067</t>
  </si>
  <si>
    <t>E-invoicing arrives in the UAE</t>
  </si>
  <si>
    <t>The UAE's e-invoicing pilot opened in July 2026. Businesses with revenue of AED 50 million or more must appoint an accredited provider by Oct 30, 2026 and go live on Jan 1, 2027, and smaller businesses follow on Jul 1, 2027. Many SMEs still email PDF invoices built in spreadsheets.</t>
  </si>
  <si>
    <t>SME owners, accountants and bookkeepers in the UAE.</t>
  </si>
  <si>
    <t>Every VAT-registered business in the UAE has to switch within a year, and similar mandates created large software companies in Europe and Latin America. Penalties apply to those who miss it.</t>
  </si>
  <si>
    <t>Help UAE SMEs switch to structured e-invoicing without disrupting the business.</t>
  </si>
  <si>
    <t>Share of an SME's invoices that pass validation in the required format.</t>
  </si>
  <si>
    <t>a readiness check and migration plan; existing PDF invoices converted into structured data; a dashboard for accountants with many clients.</t>
  </si>
  <si>
    <t>Peppol and PINT AE standards, transmission through accredited providers, and rules that may still change.</t>
  </si>
  <si>
    <t>Convert one real or realistic SME's invoices and test with three UAE accountants online.</t>
  </si>
  <si>
    <t>P068</t>
  </si>
  <si>
    <t>Discovering your policy's exclusions in the hospital</t>
  </si>
  <si>
    <t>Families buy health insurance but rarely understand waiting periods, sub-limits, room-rent caps or exclusions until they claim. Claims get cut and families pay unexpectedly.</t>
  </si>
  <si>
    <t>Families with individual or family-floater policies, and insurance advisers.</t>
  </si>
  <si>
    <t>Retail health insurance is growing quickly in India, and advisory startups like Ditto built businesses on explaining policies. Most families still buy on price and learn the terms in hospital.</t>
  </si>
  <si>
    <t>Help families understand and use their cover before they need it.</t>
  </si>
  <si>
    <t>Share of users who correctly answer what their policy covers for a common hospitalisation.</t>
  </si>
  <si>
    <t>the policy read into covered and not covered; scenario checks; pre-claim document lists.</t>
  </si>
  <si>
    <t>Not insurance advice, IRDAI rules and dense policy wording. Hospital-side claims belong to P022.</t>
  </si>
  <si>
    <t>Parse ten real policies and test the explanations with their holders.</t>
  </si>
  <si>
    <t>P069</t>
  </si>
  <si>
    <t>₹900 one day, ₹200 the next</t>
  </si>
  <si>
    <t>Delivery and ride-hailing workers earn very different amounts from day to day. With no salary slips or credit history, they turn to informal lenders or predatory loan apps when expenses spike.</t>
  </si>
  <si>
    <t>Platform gig workers in India, and in Brazil or Mexico.</t>
  </si>
  <si>
    <t>India's gig workforce is growing quickly, and earned-wage-access and gig-credit startups have raised money. State laws in Rajasthan and Karnataka are adding welfare obligations for platforms.</t>
  </si>
  <si>
    <t>Help gig workers handle volatile income and get fair credit.</t>
  </si>
  <si>
    <t>Share of pilot workers who cover an expense spike without an informal loan.</t>
  </si>
  <si>
    <t>income smoothing and micro-savings; credit based on earnings history; buffers for sudden expenses.</t>
  </si>
  <si>
    <t>RBI digital lending rules, platform data access, and workers' trust and literacy.</t>
  </si>
  <si>
    <t>Interview 15 workers, analyse consented earnings data and pilot one tool with five of them.</t>
  </si>
  <si>
    <t>P070</t>
  </si>
  <si>
    <t>Money sent home that misses its purpose</t>
  </si>
  <si>
    <t>Migrants in the Gulf, UK and US send money home for school fees, medicine or building a house. Some of it goes elsewhere, senders can't see where, and families get cash instead of paid bills.</t>
  </si>
  <si>
    <t>Diaspora senders from Kenya, Nigeria, the Philippines and India, and their families.</t>
  </si>
  <si>
    <t>Remittances to low- and middle-income countries are larger than foreign aid, and digital remittance companies have raised big rounds. Paying the bill directly is a better product for many senders.</t>
  </si>
  <si>
    <t>Help senders make sure money sent home does what it was sent to do.</t>
  </si>
  <si>
    <t>Share of transfers delivered as paid bills rather than cash.</t>
  </si>
  <si>
    <t>paying schools, clinics or suppliers directly; transfers tagged by purpose, with receipts.</t>
  </si>
  <si>
    <t>Payment licensing, recipients' dignity and merchant coverage.</t>
  </si>
  <si>
    <t>Prototype with five diaspora senders paying one category of bills.</t>
  </si>
  <si>
    <t>Payments: Razorpay or Stripe in test mode, Setu sandbox</t>
  </si>
  <si>
    <t>P071</t>
  </si>
  <si>
    <t>The savings group that runs on trust and a notebook</t>
  </si>
  <si>
    <t>Rotating savings groups (chamas in Kenya, chit funds and kitty parties in India, tandas in Mexico) pool money among members. Records live in notebooks and WhatsApp, and disputes or defaults break groups apart.</t>
  </si>
  <si>
    <t>Members and treasurers of savings groups.</t>
  </si>
  <si>
    <t>Hundreds of millions of people use these groups for lump sums. Their payment records could become credit histories for people banks can't score today.</t>
  </si>
  <si>
    <t>Help savings groups run transparently and settle disputes.</t>
  </si>
  <si>
    <t>Share of contributions recorded and reconciled the day they're paid.</t>
  </si>
  <si>
    <t>a group ledger in WhatsApp matched to payments; rotation and auction management.</t>
  </si>
  <si>
    <t>India's Chit Funds Act and similar laws, trust, and digital literacy.</t>
  </si>
  <si>
    <t>Run one real group's records through the product for a cycle.</t>
  </si>
  <si>
    <t>P072</t>
  </si>
  <si>
    <t>Will we run out of cash in March?</t>
  </si>
  <si>
    <t>Small business owners know their bank balance but not their runway. Seasonal swings, late customers and lumpy expenses surprise them, often too late to arrange credit.</t>
  </si>
  <si>
    <t>Owners and finance staff at small businesses and startups.</t>
  </si>
  <si>
    <t>Running out of cash kills profitable businesses, and India's Account Aggregator framework now lets businesses share bank data with consent. Lenders want exactly this forecast before they lend.</t>
  </si>
  <si>
    <t>Help small businesses see their cash position weeks ahead.</t>
  </si>
  <si>
    <t>Forecast error on the 13-week cash balance for a pilot business.</t>
  </si>
  <si>
    <t>bank statements turned into categorised cash flows; scenarios; consented data through Account Aggregators.</t>
  </si>
  <si>
    <t>Messy bank narrations, forecast uncertainty and permissions.</t>
  </si>
  <si>
    <t>Forecast for one real business from six months of statements and check accuracy with the owner.</t>
  </si>
  <si>
    <t>P073</t>
  </si>
  <si>
    <t>"This is the CBI. You are under digital arrest."</t>
  </si>
  <si>
    <t>Scammers impersonating police, customs or courier firms keep victims on video calls for hours and push them to transfer savings. Retirees and professionals alike lose life savings before their families find out.</t>
  </si>
  <si>
    <t>Older adults and their families, and bank fraud teams.</t>
  </si>
  <si>
    <t>Reported cyber fraud losses in India run into thousands of crores a year, and the Prime Minister warned the public about digital arrest scams in 2024. Banks and insurers want ways to stop transfers in the moment.</t>
  </si>
  <si>
    <t>Help people and families stop impersonation scams before money moves.</t>
  </si>
  <si>
    <t>Share of role-played scam calls where the person stops before transferring.</t>
  </si>
  <si>
    <t>a family safety circle that prompts a check with someone in real time; call-pattern signals shared with consent; bank-side friction on unusual transfers.</t>
  </si>
  <si>
    <t>Privacy and consent, no call interception without permission, and false alarms.</t>
  </si>
  <si>
    <t>Test the intervention with ten older adults and their families using role-played scams.</t>
  </si>
  <si>
    <t>P074</t>
  </si>
  <si>
    <t>Tax credit lost because a supplier didn't file</t>
  </si>
  <si>
    <t>Indian businesses can claim GST input tax credit only when their suppliers file returns correctly. Small businesses rarely reconcile their purchase records with GSTR-2B each month, so credits slip away and notices arrive later.</t>
  </si>
  <si>
    <t>SME owners, their accountants and the CA firms handling their GST.</t>
  </si>
  <si>
    <t>Input credit is real cash for every GST-registered business, and the GST system keeps tightening its matching rules. Most small businesses don't know how much credit they lose each year.</t>
  </si>
  <si>
    <t>Help small businesses claim all the input credit they're entitled to.</t>
  </si>
  <si>
    <t>Input tax credit recovered per month for a pilot business.</t>
  </si>
  <si>
    <t>monthly matching of purchase registers with GSTR-2B; supplier reminders over WhatsApp; risk flags before notices arrive.</t>
  </si>
  <si>
    <t>GST portal access and terms, accounting data quality, and not tax advice.</t>
  </si>
  <si>
    <t>Reconcile three months of data for one real business and quantify the missing credit.</t>
  </si>
  <si>
    <t>P075</t>
  </si>
  <si>
    <t>NRI tax and the property sale nobody planned for</t>
  </si>
  <si>
    <t>NRIs selling property, earning rent or holding deposits in India face TDS, treaty rules and residency tests. Many overpay, get notices or struggle to move the money out.</t>
  </si>
  <si>
    <t>NRIs, their families in India and the CAs who serve them.</t>
  </si>
  <si>
    <t>India has one of the largest diasporas in the world, and NRI-focused finance startups have raised money. The sums involved are large, so mistakes are expensive.</t>
  </si>
  <si>
    <t>Help NRIs meet their Indian tax obligations without overpaying.</t>
  </si>
  <si>
    <t>Tax refunded or saved per NRI case in the pilot.</t>
  </si>
  <si>
    <t>an obligation map by residency and income type; document lists and reminders; a shared workspace with the CA.</t>
  </si>
  <si>
    <t>Not tax advice, complex rules and trust.</t>
  </si>
  <si>
    <t>Map obligations for ten real NRI scenarios and validate them with a CA.</t>
  </si>
  <si>
    <t>P076</t>
  </si>
  <si>
    <t>Insurance that pays when the heatwave stops work</t>
  </si>
  <si>
    <t>Southeast Asia</t>
  </si>
  <si>
    <t>Street vendors, labourers and delivery workers in Southeast Asia and India lose income on extreme-heat or heavy-rain days. Traditional insurance doesn't cover lost earnings, and claims are impossible for informal workers.</t>
  </si>
  <si>
    <t>Informal workers, worker cooperatives and microinsurers.</t>
  </si>
  <si>
    <t>Parametric insurance, which pays automatically when a weather trigger is hit, has been piloted with SEWA in India and is spreading across Asia. Climate shocks keep getting more frequent.</t>
  </si>
  <si>
    <t>Help informal workers protect their income against weather shocks.</t>
  </si>
  <si>
    <t>Share of real lost-work days in a past season that the trigger would have paid for.</t>
  </si>
  <si>
    <t>triggers from public weather data; enrolment through cooperatives; payouts over UPI or mobile money.</t>
  </si>
  <si>
    <t>Insurance regulation, basis risk and affordability.</t>
  </si>
  <si>
    <t>Design triggers, back-test them against last summer for one city and test understanding with ten workers.</t>
  </si>
  <si>
    <t>P077</t>
  </si>
  <si>
    <t>Recurring billing finally works on Pix</t>
  </si>
  <si>
    <t>Latin America</t>
  </si>
  <si>
    <t>Brazil's Pix instant payments dominate, and Pix Automático, launched in June 2025, allows recurring debits. Gyms, schools, clubs and software businesses still chase monthly payments by hand or pay card fees.</t>
  </si>
  <si>
    <t>Brazilian small businesses with recurring revenue.</t>
  </si>
  <si>
    <t>Pix now handles more payments than cards in Brazil, and recurring Pix opens a new market for subscription billing. India's UPI AutoPay shows how large that can get.</t>
  </si>
  <si>
    <t>Help small Brazilian businesses collect recurring payments reliably.</t>
  </si>
  <si>
    <t>Share of monthly charges collected on the due date.</t>
  </si>
  <si>
    <t>subscription management on Pix Automático; retries and reminders; reconciliation with accounting.</t>
  </si>
  <si>
    <t>It needs a payment-provider partner, a Portuguese-language experience and regulatory compliance.</t>
  </si>
  <si>
    <t>Simulate the flows in a sandbox and interview ten Brazilian business owners online.</t>
  </si>
  <si>
    <t>P078</t>
  </si>
  <si>
    <t>Rejected for a loan, no reason given</t>
  </si>
  <si>
    <t>MSME loan applications stall or fail because of incomplete documents, poor books, or GST and bank data that don't match. Owners don't know what lenders want or which lender fits.</t>
  </si>
  <si>
    <t>MSME owners looking for working capital or term loans.</t>
  </si>
  <si>
    <t>India's MSME credit gap is very large, and rails like Account Aggregators and OCEN make data-driven lending possible. Lenders pay for qualified borrowers.</t>
  </si>
  <si>
    <t>Help MSMEs become loan-ready and find the right lender.</t>
  </si>
  <si>
    <t>Share of pilot applications approved on the first submission.</t>
  </si>
  <si>
    <t>readiness checks from GST, bank and tax data; document preparation; lender and scheme matching.</t>
  </si>
  <si>
    <t>Data privacy, lender integration, and avoiding becoming a lead-selling funnel.</t>
  </si>
  <si>
    <t>Run readiness checks for five real MSMEs and validate them with a banker.</t>
  </si>
  <si>
    <t>P079</t>
  </si>
  <si>
    <t>Thirty accounts, four generations, one spreadsheet</t>
  </si>
  <si>
    <t>Business families hold wealth across bank accounts, deposits, shares, mutual funds, property, gold, insurance and private investments in many names. Nobody holds the full picture, so succession and emergencies turn into chaos.</t>
  </si>
  <si>
    <t>Business-family members and their family offices or CAs.</t>
  </si>
  <si>
    <t>Wealth platforms for affluent Indian families, such as Dezerv, have raised large rounds. Lost assets, missed maturities and inheritance disputes are common.</t>
  </si>
  <si>
    <t>Help business families see and manage their combined wealth.</t>
  </si>
  <si>
    <t>Share of a family's assets captured in one verified view.</t>
  </si>
  <si>
    <t>statements read in many formats; nominee and succession checks; views by family role.</t>
  </si>
  <si>
    <t>Extreme sensitivity and security, many formats, and not investment advice.</t>
  </si>
  <si>
    <t>Consolidate anonymised or synthetic statements for one family across five asset types.</t>
  </si>
  <si>
    <t>P080</t>
  </si>
  <si>
    <t>Every loan now comes with a Key Fact Statement nobody reads</t>
  </si>
  <si>
    <t>Since October 2024 the RBI has required lenders to give every retail and MSME borrower a Key Fact Statement showing the true annual rate and all charges. Borrowers still sign without reading it, and comparing two offers is still hard.</t>
  </si>
  <si>
    <t>Individuals and small businesses taking personal, gold, vehicle or business loans.</t>
  </si>
  <si>
    <t>India's retail lending has grown fast, and hidden charges are a common complaint. A standard document makes honest comparison possible for the first time.</t>
  </si>
  <si>
    <t>Help borrowers compare loan offers on their real cost before signing.</t>
  </si>
  <si>
    <t>Difference in total cost between the loan chosen and the borrower's first offer.</t>
  </si>
  <si>
    <t>Key Fact Statements read from photos; side-by-side comparison of real cost; flags on unusual charges.</t>
  </si>
  <si>
    <t>Not financial advice, and lender formats vary.</t>
  </si>
  <si>
    <t>Compare real offers for ten borrowers.</t>
  </si>
  <si>
    <t>P081</t>
  </si>
  <si>
    <t>Thousands of crores in CSR, little evidence of impact</t>
  </si>
  <si>
    <t>Indian companies above set thresholds must spend 2% of profits on CSR. They struggle to find credible NGOs and measure impact, while NGOs spend heavily on reports.</t>
  </si>
  <si>
    <t>CSR heads at mid-size companies and NGO founders.</t>
  </si>
  <si>
    <t>Mandatory CSR creates a large budget every year, and CSR platforms have raised funding. Funders want evidence, and good NGOs want less paperwork.</t>
  </si>
  <si>
    <t>Help companies and NGOs allocate and report CSR money on evidence.</t>
  </si>
  <si>
    <t>Hours an NGO spends on one CSR report.</t>
  </si>
  <si>
    <t>NGO profiles built from public filings; reporting templates; matching by cause and geography.</t>
  </si>
  <si>
    <t>NGO data quality, the risk of unfair rankings, and Companies Act rules.</t>
  </si>
  <si>
    <t>Profile 20 NGOs in one cause area and test with two CSR managers or NGOs.</t>
  </si>
  <si>
    <t>P082</t>
  </si>
  <si>
    <t>The part-time insurance agent with no system</t>
  </si>
  <si>
    <t>India has a large base of part-time insurance agents selling motor, health and life cover. They track leads, renewals and follow-ups in WhatsApp and memory, and renewals slip.</t>
  </si>
  <si>
    <t>POSP agents and small insurance brokers.</t>
  </si>
  <si>
    <t>Platforms that serve these agents, such as Turtlemint and InsuranceDekho, have raised large rounds. Renewals are where agents earn, and missed renewals go to direct channels.</t>
  </si>
  <si>
    <t>Help part-time agents manage their book and serve customers better.</t>
  </si>
  <si>
    <t>Renewal rate on an agent's book during the pilot.</t>
  </si>
  <si>
    <t>policies captured into a renewal calendar; conversations based on customer needs; WhatsApp follow-ups.</t>
  </si>
  <si>
    <t>IRDAI rules on advice and solicitation, and customer data privacy.</t>
  </si>
  <si>
    <t>Load one agent's real book and run renewals for two weeks.</t>
  </si>
  <si>
    <t>P083</t>
  </si>
  <si>
    <t>Money in accounts the family forgot about</t>
  </si>
  <si>
    <t>Indian banks hold tens of thousands of crores in unclaimed deposits, and more sits in forgotten insurance policies, mutual funds, shares and provident funds. Families often don't know these assets exist, especially after a death, and claiming them means paperwork across many institutions.</t>
  </si>
  <si>
    <t>Families settling a relative's affairs, and people with old accounts from past jobs and cities.</t>
  </si>
  <si>
    <t>The RBI launched the UDGAM portal in 2023 to search unclaimed deposits, and regulators keep pushing institutions to return dormant money. Searching has become easier, and claiming is still hard.</t>
  </si>
  <si>
    <t>Help families find and claim money that belongs to them.</t>
  </si>
  <si>
    <t>Value of unclaimed assets found and claimed per family in the pilot.</t>
  </si>
  <si>
    <t>guided searches across official portals; document checklists for each institution; tracking every claim.</t>
  </si>
  <si>
    <t>Identity verification, legal-heir documents, and sensitive financial data.</t>
  </si>
  <si>
    <t>Run searches and claim checklists for five real families, with their consent.</t>
  </si>
  <si>
    <t>P084</t>
  </si>
  <si>
    <t>The letter of credit rejected for a typo</t>
  </si>
  <si>
    <t>Exporters paid by letter of credit must present documents that match its terms exactly. Discrepancies on first presentation are common and cause delays, fees or refusals.</t>
  </si>
  <si>
    <t>Exporters, freight forwarders and trade finance teams.</t>
  </si>
  <si>
    <t>Trade finance is still heavy on paper, and laws such as the UK's Electronic Trade Documents Act are pushing it online. Most discrepancies are preventable.</t>
  </si>
  <si>
    <t>Help exporters present compliant documents the first time.</t>
  </si>
  <si>
    <t>Discrepancy rate on first presentation for pilot shipments.</t>
  </si>
  <si>
    <t>LC terms read and documents checked against UCP 600 rules; an assistant for preparing documents.</t>
  </si>
  <si>
    <t>Document variety, interpretation of the rules and bank confidentiality.</t>
  </si>
  <si>
    <t>Check ten real or realistic document sets and compare with bank feedback.</t>
  </si>
  <si>
    <t>P085</t>
  </si>
  <si>
    <t>Half the shop floor leaves every quarter</t>
  </si>
  <si>
    <t>E. Work: workforce, legal and knowledge work</t>
  </si>
  <si>
    <t>Factories and warehouses that rely on contract and migrant workers see very high attrition. New workers get little onboarding, make mistakes and leave within weeks, and supervisors spend their days re-hiring.</t>
  </si>
  <si>
    <t>Plant HR, supervisors, labour contractors and frontline workers.</t>
  </si>
  <si>
    <t>India's manufacturing push depends on a stable blue-collar workforce, and blue-collar HR platforms such as Apna and Betterplace have raised large rounds. Attrition hurts quality, safety and output.</t>
  </si>
  <si>
    <t>Help employers keep frontline workers longer and get new ones productive faster.</t>
  </si>
  <si>
    <t>Share of new workers still employed after 30 days.</t>
  </si>
  <si>
    <t>voice-first onboarding with a buddy system; WhatsApp check-ins in local languages; catching grievances before people quit.</t>
  </si>
  <si>
    <t>Workers' phones and literacy, contractors in the middle, and trust that feedback won't be punished.</t>
  </si>
  <si>
    <t>Pilot with one factory or warehouse for two weeks.</t>
  </si>
  <si>
    <t>P086</t>
  </si>
  <si>
    <t>Tax season: chasing 300 clients for documents</t>
  </si>
  <si>
    <t>CA firms spend weeks chasing clients for Form 16, bank statements, capital-gains reports and rent receipts over WhatsApp and email. Documents arrive incomplete, late and in random formats.</t>
  </si>
  <si>
    <t>Small and mid-size CA firms and their individual and SME clients.</t>
  </si>
  <si>
    <t>Hundreds of thousands of accountants serve tens of millions of Indian taxpayers, and practice software is a growing category. Collecting documents takes more staff time than doing the computation.</t>
  </si>
  <si>
    <t>Help CA firms collect and organise client documents with far less chasing.</t>
  </si>
  <si>
    <t>Days from first request to a complete document set per client.</t>
  </si>
  <si>
    <t>a personalised checklist for each client; WhatsApp collection that sorts documents automatically; a status board for the firm.</t>
  </si>
  <si>
    <t>Financial data security, impatient clients, and workflows that differ by firm.</t>
  </si>
  <si>
    <t>Run with one CA firm and 20 clients on a GST or advance-tax cycle.</t>
  </si>
  <si>
    <t>P087</t>
  </si>
  <si>
    <t>Contracts signed and forgotten</t>
  </si>
  <si>
    <t>SMEs sign vendor, customer, lease and distribution contracts, then lose track of renewals, penalties, exclusivity clauses and payment terms. Problems surface only when something goes wrong.</t>
  </si>
  <si>
    <t>SME founders and finance and operations managers.</t>
  </si>
  <si>
    <t>Contract management software such as India's SpotDraft is a funded category built for legal teams. Most SMEs have no legal team, so their obligations go untracked.</t>
  </si>
  <si>
    <t>Help SMEs know and meet what their contracts commit them to.</t>
  </si>
  <si>
    <t>Share of a company's contract obligations captured and calendared correctly.</t>
  </si>
  <si>
    <t>obligations extracted into a calendar; flags on risky clauses; reminders sent to both parties.</t>
  </si>
  <si>
    <t>Not legal advice, extraction accuracy and confidential documents.</t>
  </si>
  <si>
    <t>Extract obligations from 20 real contracts at one SME and have the owner or a lawyer check them.</t>
  </si>
  <si>
    <t>P088</t>
  </si>
  <si>
    <t>The due diligence that delays the term sheet</t>
  </si>
  <si>
    <t>Early-stage Indian startups raising money discover their records are a mess: missing board minutes, wrong filings with the Registrar of Companies, unsigned founder agreements, a cap table that doesn't match the share register. Due diligence drags for weeks and sometimes kills the deal.</t>
  </si>
  <si>
    <t>Founders of seed and Series A startups, their CAs and company secretaries, and investors' legal teams.</t>
  </si>
  <si>
    <t>Thousands of Indian startups raise money every year, and every investor runs the same checks. Equity-management platforms like Qapita have raised funding, but getting ready for diligence is still manual.</t>
  </si>
  <si>
    <t>Help startups become diligence-ready before investors ask.</t>
  </si>
  <si>
    <t>Days from term sheet to diligence closing.</t>
  </si>
  <si>
    <t>a records audit against a standard diligence checklist; fix lists for the CA and company secretary; a clean data room.</t>
  </si>
  <si>
    <t>Not legal advice, confidential documents, and MCA portal access.</t>
  </si>
  <si>
    <t>Run a diligence-readiness audit for three real startups.</t>
  </si>
  <si>
    <t>P089</t>
  </si>
  <si>
    <t>The cheque bounced, now what?</t>
  </si>
  <si>
    <t>Cheque bounce cases under Section 138 of the Negotiable Instruments Act make up a large share of pending cases in Indian courts. Small businesses owed money miss the notice deadlines, send weak notices or give up on recovery.</t>
  </si>
  <si>
    <t>SME owners and traders, and the lawyers who handle recovery for them.</t>
  </si>
  <si>
    <t>Unpaid dues drain small businesses constantly, and legal recovery and online dispute resolution startups have raised money. A correct notice sent on time often gets the money paid without going to court.</t>
  </si>
  <si>
    <t>Help small businesses recover bounced-cheque and other unpaid dues quickly.</t>
  </si>
  <si>
    <t>Share of notices that lead to payment within 30 days.</t>
  </si>
  <si>
    <t>deadline tracking with notices drafted for a lawyer to review; escalation from reminder to notice to mediation.</t>
  </si>
  <si>
    <t>Strict legal timelines, lawyer review and not legal advice.</t>
  </si>
  <si>
    <t>Take five real cases through the notice stage with a lawyer.</t>
  </si>
  <si>
    <t>P090</t>
  </si>
  <si>
    <t>Junior associates spending nights on first drafts</t>
  </si>
  <si>
    <t>Indian law firms bill for drafting agreements, notices and filings, and juniors spend long hours writing first drafts from old precedents. Partners then spend more hours fixing them, and clients push back on fees.</t>
  </si>
  <si>
    <t>Partners and associates at small and mid-size Indian law firms, and in-house legal teams.</t>
  </si>
  <si>
    <t>Legal AI is one of the most heavily funded AI categories in the world, and Harvey has raised at multi-billion-dollar valuations. Indian firms are only starting to adopt it, and Indian law, courts and languages need local work.</t>
  </si>
  <si>
    <t>Help law firms produce reliable first drafts in less time.</t>
  </si>
  <si>
    <t>Partner review time per draft.</t>
  </si>
  <si>
    <t>drafts built from the firm's own precedents; clause checks against Indian law; citations a lawyer can verify.</t>
  </si>
  <si>
    <t>Client confidentiality, made-up citations, and professional conduct rules.</t>
  </si>
  <si>
    <t>Generate drafts for one document type from a firm's precedents and compare review time with their usual process.</t>
  </si>
  <si>
    <t>P091</t>
  </si>
  <si>
    <t>Small businesses that are months behind on their books</t>
  </si>
  <si>
    <t>Many small businesses fall months behind on bookkeeping until a tax deadline, loan application or audit forces a rush. When Bench, a large US bookkeeping provider, shut down in December 2024, thousands of customers had to catch up elsewhere at short notice.</t>
  </si>
  <si>
    <t>Owners of small businesses and freelancers in the US, UK and India, and their bookkeepers.</t>
  </si>
  <si>
    <t>Bookkeeping is a large market moving from people to software with human review. Catch-up work is urgent, and businesses pay for it.</t>
  </si>
  <si>
    <t>Help small businesses catch up on months of books quickly and accurately.</t>
  </si>
  <si>
    <t>Hours to close one month of books for a pilot business.</t>
  </si>
  <si>
    <t>bank transactions categorised with human review; flags for missing receipts; packages ready for an accountant.</t>
  </si>
  <si>
    <t>Accuracy, tax rules that differ by country, and bank data access.</t>
  </si>
  <si>
    <t>Catch up three months of books for one real business.</t>
  </si>
  <si>
    <t>P092</t>
  </si>
  <si>
    <t>The lead that waited two days for a reply</t>
  </si>
  <si>
    <t>Small B2B companies and service firms get enquiries through website forms, email and WhatsApp, then reply hours or days later. By then the buyer has spoken to a competitor.</t>
  </si>
  <si>
    <t>Founders and sales teams at small B2B companies, agencies and service firms.</t>
  </si>
  <si>
    <t>The first company to reply often wins the deal, and AI sales assistants are a heavily funded category. Small firms have nobody watching the inbox.</t>
  </si>
  <si>
    <t>Help small companies respond to and qualify every lead fast.</t>
  </si>
  <si>
    <t>Median minutes from enquiry to first useful reply.</t>
  </si>
  <si>
    <t>instant first replies that ask the right qualifying questions; routing hot leads to a person straight away.</t>
  </si>
  <si>
    <t>Replies must not feel robotic, and anti-spam rules apply.</t>
  </si>
  <si>
    <t>Run with one real business's inbound leads for two weeks.</t>
  </si>
  <si>
    <t>Agents: Claude tool use and MCP, Playwright or Browserbase, Firecrawl; WhatsApp: WhatsApp Cloud API (test number), Interakt or Gupshup, n8n</t>
  </si>
  <si>
    <t>P093</t>
  </si>
  <si>
    <t>Export incentives small exporters forget to claim</t>
  </si>
  <si>
    <t>Indian exporters are entitled to duty refunds and incentives such as RoDTEP and drawback, but small exporters often miss claims or file late. The paperwork across shipping bills and portals is tedious.</t>
  </si>
  <si>
    <t>Small exporters, their freight forwarders and customs brokers.</t>
  </si>
  <si>
    <t>These refunds are a few percent of export value, which can be the whole margin for a small exporter. Trade compliance software mostly serves large companies.</t>
  </si>
  <si>
    <t>Help small exporters claim every incentive they're due.</t>
  </si>
  <si>
    <t>Incentive value claimed per shipment for a pilot exporter.</t>
  </si>
  <si>
    <t>shipping bills matched to eligible schemes; tracking claims and credits; reminders before deadlines.</t>
  </si>
  <si>
    <t>Scheme rates and rules change, portal terms apply, and this is not tax advice.</t>
  </si>
  <si>
    <t>Review six months of shipments for one exporter and quantify the unclaimed incentives.</t>
  </si>
  <si>
    <t>P094</t>
  </si>
  <si>
    <t>The invoice, the PO and the goods receipt don't match</t>
  </si>
  <si>
    <t>Accounts payable teams at mid-size companies match vendor invoices against purchase orders and goods receipts by hand. Mismatches in quantity, price or tax delay payments, annoy vendors and hide overbilling.</t>
  </si>
  <si>
    <t>AP teams and controllers at mid-size manufacturers and distributors, and their vendors.</t>
  </si>
  <si>
    <t>Accounts payable automation is a large global software market, and India's rule on paying MSME vendors within 45 days adds urgency. Mid-size Indian companies are poorly served by global tools.</t>
  </si>
  <si>
    <t>Help finance teams process vendor invoices accurately and fast.</t>
  </si>
  <si>
    <t>Share of invoices matched and approved with no manual handling.</t>
  </si>
  <si>
    <t>document extraction and three-way matching; exception queues that explain the mismatch; a status page for vendors.</t>
  </si>
  <si>
    <t>Varied formats, Tally or SAP Business One integration, and audit trails.</t>
  </si>
  <si>
    <t>Match 100 anonymised invoices for one company and measure accuracy.</t>
  </si>
  <si>
    <t>P095</t>
  </si>
  <si>
    <t>Sales reps who never update the CRM</t>
  </si>
  <si>
    <t>Field and inside sales reps hate data entry, so the CRM holds stale, partial information. Managers forecast blind and coach without facts.</t>
  </si>
  <si>
    <t>Sales managers and reps at Indian SMBs and mid-market companies, many of whom spend the day on the road.</t>
  </si>
  <si>
    <t>Revenue intelligence tools like Gong were built for US inside-sales teams on video calls. Indian field teams sell in person and in mixed languages, and nothing captures those conversations.</t>
  </si>
  <si>
    <t>Help sales teams keep pipeline data accurate without burdening reps.</t>
  </si>
  <si>
    <t>Share of sales visits logged in the CRM within a day.</t>
  </si>
  <si>
    <t>voice-note debriefs turned into CRM updates; deal risk signals; coaching summaries for managers.</t>
  </si>
  <si>
    <t>CRM integrations, extraction accuracy and reps' privacy.</t>
  </si>
  <si>
    <t>Run with one sales team of five or more reps for two weeks.</t>
  </si>
  <si>
    <t>P096</t>
  </si>
  <si>
    <t>Two percent of calls get reviewed</t>
  </si>
  <si>
    <t>Contact centres in Manila and India audit a tiny sample of calls for quality and compliance. Coaching is generic, and serious problems surface late.</t>
  </si>
  <si>
    <t>QA managers, team leads and agents at BPOs and in-house support teams.</t>
  </si>
  <si>
    <t>The Philippines and India handle much of the world's outsourced customer support, and clients now expect every call to be analysed. Conversation analytics is a well-funded category with gaps in accents and code-mixed speech.</t>
  </si>
  <si>
    <t>Help contact centres measure quality on every call and coach agents well.</t>
  </si>
  <si>
    <t>Agreement between automated quality scores and expert QA scores.</t>
  </si>
  <si>
    <t>speech analytics against the QA rubric; coaching plans for each agent; compliance alerts.</t>
  </si>
  <si>
    <t>Sensitive recordings, accents and code-mixing, and client consent.</t>
  </si>
  <si>
    <t>Score 50 real or licensed calls against a rubric and compare with human scores.</t>
  </si>
  <si>
    <t>P097</t>
  </si>
  <si>
    <t>Five years of five-star ratings, usable nowhere else</t>
  </si>
  <si>
    <t>Gig workers build reputations on Urban Company, Uber or Upwork, but ratings stay locked inside each platform. Switching platforms, applying for a loan or renting a flat means starting from zero.</t>
  </si>
  <si>
    <t>Platform workers, and the lenders, landlords and employers who need trust signals.</t>
  </si>
  <si>
    <t>India is building public infrastructure for credentials and consented data sharing, and portable work histories would let lenders serve millions of people who have no payslips.</t>
  </si>
  <si>
    <t>Help workers carry verified proof of their work history across platforms.</t>
  </si>
  <si>
    <t>Share of verified profiles accepted by a lender, landlord or employer in the pilot.</t>
  </si>
  <si>
    <t>worker-owned profiles built from platform exports; verifiable credentials; verification flows for third parties.</t>
  </si>
  <si>
    <t>Platforms resist portability, verification methods are unsettled, and worker privacy matters.</t>
  </si>
  <si>
    <t>Build verified profiles for ten workers and test acceptance with one lender, landlord or employer.</t>
  </si>
  <si>
    <t>P098</t>
  </si>
  <si>
    <t>The retired CFO an MSME can't find</t>
  </si>
  <si>
    <t>Growing MSMEs need senior expertise in finance, exports, quality or operations but can't afford full-time executives. Thousands of experienced professionals retire every year and would happily work a few days a month, yet the two sides rarely meet.</t>
  </si>
  <si>
    <t>MSME owners, and retired or semi-retired professionals.</t>
  </si>
  <si>
    <t>Fractional executives are an established model in the US and UK, and many Indian MSMEs have reached the size where professional help pays for itself. Trust and scoping are what stop it.</t>
  </si>
  <si>
    <t>Help MSMEs find and work with experienced part-time experts.</t>
  </si>
  <si>
    <t>Paid engagements started between MSMEs and experts.</t>
  </si>
  <si>
    <t>expert profiles verified through references; scoped engagements with clear outcomes; simple contracts and payments.</t>
  </si>
  <si>
    <t>Trust on both sides, scoping vague problems, and payment terms.</t>
  </si>
  <si>
    <t>Match five MSMEs with experts and get at least one paid engagement started.</t>
  </si>
  <si>
    <t>P099</t>
  </si>
  <si>
    <t>Three weeks to onboard one vendor</t>
  </si>
  <si>
    <t>Mid-size Indian companies take weeks to onboard a supplier. Teams chase PAN, GST, bank details, MSME certificates and agreements over email, check them by hand, and still end up paying fake or duplicate vendors.</t>
  </si>
  <si>
    <t>Procurement and finance teams at mid-size companies, and the vendors trying to get registered.</t>
  </si>
  <si>
    <t>Every company onboards vendors constantly, and verification APIs for GST, PAN and bank accounts now make most checks instant. Fake-vendor fraud is one of the most common corporate frauds.</t>
  </si>
  <si>
    <t>Help companies onboard vendors quickly and safely.</t>
  </si>
  <si>
    <t>Days from vendor invite to approved vendor.</t>
  </si>
  <si>
    <t>a self-serve vendor portal; automatic GST, PAN and bank checks; duplicate and risk flags.</t>
  </si>
  <si>
    <t>Integration with Tally or SAP Business One, data privacy, and approval workflows.</t>
  </si>
  <si>
    <t>Onboard ten real or realistic vendors for one company through the flow.</t>
  </si>
  <si>
    <t>P100</t>
  </si>
  <si>
    <t>Paying for a guard who wasn't at the gate</t>
  </si>
  <si>
    <t>Housing societies, offices and warehouses hire security guards through agencies, and nobody can easily check who was on duty, for how long, or whether patrols happened. Billing disputes are constant and guard turnover is high.</t>
  </si>
  <si>
    <t>Security agencies, facility managers and housing society committees.</t>
  </si>
  <si>
    <t>Private security is one of India's largest employers, run mostly by small agencies on paper registers. Facility management buyers pay for proof of service.</t>
  </si>
  <si>
    <t>Make guard attendance and patrols verifiable for agencies and clients.</t>
  </si>
  <si>
    <t>Share of billed guard hours backed by verified attendance.</t>
  </si>
  <si>
    <t>phone check-in with location and photo; patrol checkpoints; monthly billing reports generated automatically.</t>
  </si>
  <si>
    <t>Guards' phones, privacy and agency resistance.</t>
  </si>
  <si>
    <t>Pilot at one housing society or office for two weeks.</t>
  </si>
  <si>
    <t>Mobile: Progressive web app, Expo (React Native), MSG91 or Twilio SMS; Maps: Google Maps Platform, Mapbox, Ola Maps, OpenStreetMap</t>
  </si>
  <si>
    <t>P101</t>
  </si>
  <si>
    <t>The third visit for the same AC</t>
  </si>
  <si>
    <t>Appliance and AC technicians often need several visits because they misdiagnose faults or arrive without the right part. Service companies lose money and customers lose patience.</t>
  </si>
  <si>
    <t>Field technicians, service companies and brands' service networks.</t>
  </si>
  <si>
    <t>Field service AI is a funded category, and India's installed base of appliances is growing fast with rising incomes and hotter summers. First-time fix rate drives cost and customer satisfaction.</t>
  </si>
  <si>
    <t>Help technicians fix faults right the first time.</t>
  </si>
  <si>
    <t>First-time fix rate on real jobs.</t>
  </si>
  <si>
    <t>a symptom-to-diagnosis assistant built on model manuals; parts prediction before the visit; voice job notes.</t>
  </si>
  <si>
    <t>Manual availability, model variety and technicians' phones.</t>
  </si>
  <si>
    <t>Support one appliance category with one service business for two weeks.</t>
  </si>
  <si>
    <t>P102</t>
  </si>
  <si>
    <t>Selling in 30 US states means owing tax in 30 states</t>
  </si>
  <si>
    <t>Since the 2018 Wayfair ruling, US states can require online sellers to collect sales tax once they pass a sales threshold in that state. Small sellers, including Indian brands selling into the US, often don't know where they've crossed thresholds.</t>
  </si>
  <si>
    <t>Small online sellers in the US and foreign brands selling to US customers.</t>
  </si>
  <si>
    <t>Sales tax compliance is a large software market led by Avalara, which is mostly priced for bigger companies. Small sellers face back taxes and penalties when states catch up.</t>
  </si>
  <si>
    <t>Help small sellers know where they owe sales tax and stay compliant.</t>
  </si>
  <si>
    <t>Share of a seller's states where obligations are correctly identified.</t>
  </si>
  <si>
    <t>threshold tracking from sales data by state; registration and filing reminders.</t>
  </si>
  <si>
    <t>Rules differ by state, marketplace facilitator laws apply, and this is not tax advice.</t>
  </si>
  <si>
    <t>Analyse one seller's US sales data and map their obligations.</t>
  </si>
  <si>
    <t>P103</t>
  </si>
  <si>
    <t>Training staff who speak ten languages</t>
  </si>
  <si>
    <t>UAE hotels, restaurants and retailers employ staff from South Asia, the Philippines, Africa and beyond. English-only SOP and safety training is poorly understood, and turnover means constant retraining.</t>
  </si>
  <si>
    <t>Training managers, supervisors and frontline staff.</t>
  </si>
  <si>
    <t>Training platforms for frontline workers are a funded category, and the UAE's hospitality sector keeps growing with tourism. Quality and safety depend on staff actually understanding the rules.</t>
  </si>
  <si>
    <t>Help multinational frontline teams learn SOPs quickly.</t>
  </si>
  <si>
    <t>Share of staff who pass a practical check on an SOP after training.</t>
  </si>
  <si>
    <t>micro-lessons in several languages generated from existing SOPs; voice quizzes.</t>
  </si>
  <si>
    <t>Translation accuracy for safety content, device access and staff time.</t>
  </si>
  <si>
    <t>Turn one real SOP into multilingual training and test with ten staff.</t>
  </si>
  <si>
    <t>P104</t>
  </si>
  <si>
    <t>Not enough accountants to review the books</t>
  </si>
  <si>
    <t>US accounting firms face a shortage of CPAs as fewer graduates enter the profession. Senior reviewers bottleneck month-end close, tax and audit work, and many firms send preparation to India.</t>
  </si>
  <si>
    <t>Small and mid-size US CPA firms and their offshore teams.</t>
  </si>
  <si>
    <t>AI for accounting firms has drawn large venture rounds, and private equity is buying up US accounting firms. India's offshore accounting industry sits right in the middle of this.</t>
  </si>
  <si>
    <t>Help accounting firms review work faster and more reliably.</t>
  </si>
  <si>
    <t>Reviewer hours per engagement.</t>
  </si>
  <si>
    <t>anomaly checks on ledgers and reconciliations; review checklists pre-filled with evidence.</t>
  </si>
  <si>
    <t>Client confidentiality, professional standards and software integration.</t>
  </si>
  <si>
    <t>Run review checks on realistic sample books and validate them with an accountant.</t>
  </si>
  <si>
    <t>P105</t>
  </si>
  <si>
    <t>The security questionnaire that stalls the deal</t>
  </si>
  <si>
    <t>B2B startups selling to enterprises receive long security and compliance questionnaires. Founders and engineers spend days on repetitive questions while deals stall.</t>
  </si>
  <si>
    <t>Founders, sales engineers and security leads at B2B SaaS startups.</t>
  </si>
  <si>
    <t>Compliance automation companies such as Vanta reached unicorn scale, and Indian SaaS companies selling abroad face these reviews on almost every deal.</t>
  </si>
  <si>
    <t>Help startups answer security reviews quickly and accurately.</t>
  </si>
  <si>
    <t>Days from questionnaire received to answers sent.</t>
  </si>
  <si>
    <t>answers drafted from the company's own policies with citations; a public trust page; gaps in controls flagged.</t>
  </si>
  <si>
    <t>Accuracy and honesty, outdated policies and confidentiality.</t>
  </si>
  <si>
    <t>Answer one real or sample questionnaire for one startup, with citations, and have the founder review it.</t>
  </si>
  <si>
    <t>P106</t>
  </si>
  <si>
    <t>Rooftop solar: subsidy, sizing, vendor, maze</t>
  </si>
  <si>
    <t>F. Climate, energy, food and agriculture</t>
  </si>
  <si>
    <t>The PM Surya Ghar scheme subsidises rooftop solar for households, but homeowners struggle to size a system, compare vendors, get net-metering approval from the electricity company and judge the savings.</t>
  </si>
  <si>
    <t>Homeowners, housing societies and empanelled installers.</t>
  </si>
  <si>
    <t>The scheme targets ten million homes with a large subsidy budget, and residential solar companies such as SolarSquare have raised money. Many households drop out somewhere between interest and installation.</t>
  </si>
  <si>
    <t>Help households go from interest to a well-sized, fairly priced, approved system.</t>
  </si>
  <si>
    <t>Share of interested households that reach a signed installation.</t>
  </si>
  <si>
    <t>sizing and payback from real electricity bills; quote comparison with installer ratings; tracking the subsidy and net-metering application.</t>
  </si>
  <si>
    <t>DISCOM processes differ by state, installer quality varies, and roofs need shading checks.</t>
  </si>
  <si>
    <t>Size systems for ten real homes from their bills and test decisions with the homeowners.</t>
  </si>
  <si>
    <t>P107</t>
  </si>
  <si>
    <t>The charger that says "available" but isn't working</t>
  </si>
  <si>
    <t>EV drivers in Europe and India often arrive at public chargers that are broken, occupied or slower than advertised. Operators struggle with uptime, and reliability data is scattered.</t>
  </si>
  <si>
    <t>EV drivers, fleet operators and charge point operators.</t>
  </si>
  <si>
    <t>EU rules now require card payment and live availability data at new public chargers, and charging networks have raised large sums. Reliability is what drivers complain about most.</t>
  </si>
  <si>
    <t>Make public charging reliable and predictable.</t>
  </si>
  <si>
    <t>Share of charging attempts that succeed on the first try for pilot drivers.</t>
  </si>
  <si>
    <t>reliability scores from driver reports and operator data; fault triage for operators; charging plans for fleets.</t>
  </si>
  <si>
    <t>Uneven data access and the quality of crowd-sourced reports.</t>
  </si>
  <si>
    <t>Build reliability data for chargers in one city and test with ten EV drivers.</t>
  </si>
  <si>
    <t>P108</t>
  </si>
  <si>
    <t>Cooling a tower in the desert</t>
  </si>
  <si>
    <t>Air conditioning dominates electricity use in Gulf buildings. Many commercial buildings run cooling on fixed schedules with little visibility, wasting energy in empty or overcooled spaces.</t>
  </si>
  <si>
    <t>Facility managers and building owners in Dubai and Abu Dhabi.</t>
  </si>
  <si>
    <t>Cooling drives peak electricity demand across the Gulf, and the UAE has committed to net zero by 2050. Building energy software is a proven category with few products tuned to desert climates.</t>
  </si>
  <si>
    <t>Help buildings cut cooling energy without hurting comfort.</t>
  </si>
  <si>
    <t>Cooling energy per square metre against a baseline week.</t>
  </si>
  <si>
    <t>cooling schedules based on occupancy; anomaly detection on building-system data; comfort feedback from tenants.</t>
  </si>
  <si>
    <t>Access to building data, integration, and cautious facility teams.</t>
  </si>
  <si>
    <t>Analyse a public building dataset or one real building's data and validate recommendations with a facility manager.</t>
  </si>
  <si>
    <t>P109</t>
  </si>
  <si>
    <t>The EU wants your steel's carbon footprint</t>
  </si>
  <si>
    <t>The EU's Carbon Border Adjustment Mechanism entered its definitive phase on Jan 1, 2026. EU importers bringing in more than 50 tonnes a year of steel, aluminium, cement or fertiliser must buy certificates for embedded emissions, and exporters without verified data get punitive default values.</t>
  </si>
  <si>
    <t>Indian MSME exporters and their EU buyers.</t>
  </si>
  <si>
    <t>India is one of the largest exporters of these goods to the EU, and buyers are shifting orders to suppliers with verified data. Carbon accounting is becoming a requirement for selling into Europe.</t>
  </si>
  <si>
    <t>Help small exporters produce credible, verifiable embedded-emissions data.</t>
  </si>
  <si>
    <t>Gap between the exporter's verified emissions per tonne and the EU default value.</t>
  </si>
  <si>
    <t>guided data capture at the plant; calculations and reports in the EU method; data sharing with buyers and verifiers.</t>
  </si>
  <si>
    <t>Methodology complexity, verification requirements and plant data quality.</t>
  </si>
  <si>
    <t>Compute embedded emissions for one product line and compare with the default values.</t>
  </si>
  <si>
    <t>P110</t>
  </si>
  <si>
    <t>Proving the coffee didn't cost a forest</t>
  </si>
  <si>
    <t>The EU Deforestation Regulation requires coffee, cocoa, rubber, soy, palm oil and timber to come from land not deforested after 2020, with plot geolocation. It applies from Dec 30, 2026 for large operators and Jun 30, 2027 for small ones. Smallholder cooperatives in Ethiopia, Uganda and Colombia lack the data.</t>
  </si>
  <si>
    <t>Cooperatives, exporters, smallholder farmers and EU importers, including India's coffee and rubber growers.</t>
  </si>
  <si>
    <t>Produce without proof loses access to one of the world's biggest markets, and traceability startups have raised money ahead of the deadline.</t>
  </si>
  <si>
    <t>Help cooperatives prove compliance for their farmers' plots cheaply and credibly.</t>
  </si>
  <si>
    <t>Share of a cooperative's plots with geolocation and a passing deforestation check.</t>
  </si>
  <si>
    <t>plot mapping on a phone; checks against public forest-loss data; tracing plots to shipments.</t>
  </si>
  <si>
    <t>Compliance evidence only, not crop monitoring. The rules may shift after the 2026 review, and farmers must consent.</t>
  </si>
  <si>
    <t>Map 20 plots (Coorg and Chikmagalur estates work), run the checks and produce a due-diligence pack.</t>
  </si>
  <si>
    <t>Maps: Google Maps Platform, Mapbox, Ola Maps, OpenStreetMap; Data: Google Sheets, Python + pandas in Colab, Metabase or Supabase dashboards</t>
  </si>
  <si>
    <t>P111</t>
  </si>
  <si>
    <t>The buffet that feeds the bin</t>
  </si>
  <si>
    <t>Hotels and banquet kitchens in Dubai throw away large amounts of food from buffets and overproduction. Chefs rarely know which items are wasted or why.</t>
  </si>
  <si>
    <t>Executive chefs, F&amp;B managers and hotel sustainability leads.</t>
  </si>
  <si>
    <t>Food waste measurement companies such as Winnow and Leanpath have built real businesses with hotel chains, and the UAE has a national target to cut food waste. Waste is food cost thrown away.</t>
  </si>
  <si>
    <t>Help commercial kitchens measure and cut food waste.</t>
  </si>
  <si>
    <t>Kilograms of food wasted per cover.</t>
  </si>
  <si>
    <t>photo logging at the bin; production planning from forecast covers.</t>
  </si>
  <si>
    <t>Kitchen staff time, hygiene and varied menus.</t>
  </si>
  <si>
    <t>Pilot logging in one hotel or large mess kitchen for a week.</t>
  </si>
  <si>
    <t>P112</t>
  </si>
  <si>
    <t>Twenty EV owners, one parking lot, no charger</t>
  </si>
  <si>
    <t>Residents of Indian apartment complexes who buy EVs often can't install a charger in their parking spot. Societies worry about safety, wiring and who pays for the electricity, so requests sit for months.</t>
  </si>
  <si>
    <t>EV owners in apartments, housing society committees and charger installers.</t>
  </si>
  <si>
    <t>EV sales in India are rising quickly, and most urban owners live in apartments. Shared, metered charging for societies is a business several startups are chasing.</t>
  </si>
  <si>
    <t>Help housing societies approve and run shared EV charging.</t>
  </si>
  <si>
    <t>Days from an owner's request to a working, metered charger.</t>
  </si>
  <si>
    <t>load and wiring assessment for the society; billing per user; approval paperwork for the committee.</t>
  </si>
  <si>
    <t>Electrical safety rules, DISCOM approvals and society politics.</t>
  </si>
  <si>
    <t>Work through approval and billing with one real society.</t>
  </si>
  <si>
    <t>P113</t>
  </si>
  <si>
    <t>Selling tomatoes at a loss because the truck was already loaded</t>
  </si>
  <si>
    <t>Farmers selling perishables often don't know prices across nearby mandis or buyers until they arrive, and they can't afford to turn back. Prices swing from day to day.</t>
  </si>
  <si>
    <t>Vegetable and fruit farmers, FPOs and small aggregators.</t>
  </si>
  <si>
    <t>Agri marketplaces like Ninjacart have raised large sums on this, and price crashes keep making headlines. Choosing a better market raises farmer income directly.</t>
  </si>
  <si>
    <t>Help farmers decide where and when to sell perishables.</t>
  </si>
  <si>
    <t>Realised price per kilo compared with the farmer's usual market.</t>
  </si>
  <si>
    <t>price intelligence from Agmarknet and buyer quotes; voice advisories; pooling produce for bulk buyers.</t>
  </si>
  <si>
    <t>Delayed mandi data, farmers' phones and relationships with middlemen.</t>
  </si>
  <si>
    <t>Advise ten farmers through an FPO for two weeks and compare prices.</t>
  </si>
  <si>
    <t>P114</t>
  </si>
  <si>
    <t>A sick cow is a lost month of income</t>
  </si>
  <si>
    <t>Dairy farmers with a few cows lose income to mastitis, infertility and missed heat cycles. Records are rare, and vet visits are expensive or slow.</t>
  </si>
  <si>
    <t>Small dairy farmers, dairy cooperatives and paravets.</t>
  </si>
  <si>
    <t>India is the world's largest milk producer, mostly from small herds, and dairy tech companies such as Stellapps have raised money. Small gains per animal add up across millions of farmers.</t>
  </si>
  <si>
    <t>Help small dairy farmers keep their cattle healthy and productive.</t>
  </si>
  <si>
    <t>Share of heat cycles recorded and acted on during the pilot.</t>
  </si>
  <si>
    <t>voice records for each animal; heat-cycle reminders; triage from photos by paravets.</t>
  </si>
  <si>
    <t>It doesn't replace vets, literacy varies, and connectivity is patchy.</t>
  </si>
  <si>
    <t>Pilot with ten farmers through one dairy cooperative.</t>
  </si>
  <si>
    <t>Voice: Sarvam AI, Deepgram or Whisper, ElevenLabs, Vapi or Retell, Exotel or Twilio; Vision: Claude vision, Roboflow</t>
  </si>
  <si>
    <t>P115</t>
  </si>
  <si>
    <t>The fake pesticide bottle</t>
  </si>
  <si>
    <t>Counterfeit and substandard seeds, fertilisers and pesticides are widespread in Kenya, Nigeria and India. Farmers lose whole seasons and can't check products at the counter.</t>
  </si>
  <si>
    <t>Smallholder farmers, agro-dealers and input manufacturers.</t>
  </si>
  <si>
    <t>Brands lose sales and farmers lose trust, so manufacturers will pay for authentication. Product authentication is established in pharma and is now moving into farm inputs.</t>
  </si>
  <si>
    <t>Help farmers and dealers verify inputs before buying and trace problems afterwards.</t>
  </si>
  <si>
    <t>Share of purchases verified at the counter in the pilot.</t>
  </si>
  <si>
    <t>packaging authentication with codes and vision; dealer reputation; complaints routed to brands and regulators.</t>
  </si>
  <si>
    <t>Brand participation, sophisticated counterfeiters and feature phones.</t>
  </si>
  <si>
    <t>Prototype verification for one product category and test with three dealers and ten farmers.</t>
  </si>
  <si>
    <t>P116</t>
  </si>
  <si>
    <t>Bengaluru's tanker-water dependency</t>
  </si>
  <si>
    <t>Many Bengaluru apartments depend on borewells and private tankers, with unreliable supply and prices that jump in summer. Associations rarely know their consumption patterns or where water leaks.</t>
  </si>
  <si>
    <t>Apartment associations, facility managers and residents.</t>
  </si>
  <si>
    <t>The 2024 water crisis made water a top issue for every large complex, and smart water metering is spreading. Tanker spending is one of the largest lines in a society's budget.</t>
  </si>
  <si>
    <t>Help communities understand and cut their water cost and dependence.</t>
  </si>
  <si>
    <t>Tanker spend per household per month.</t>
  </si>
  <si>
    <t>meter reading capture and analytics; tanker price comparison; recharge and reuse plans.</t>
  </si>
  <si>
    <t>Metering gaps, an opaque tanker market and resident habits.</t>
  </si>
  <si>
    <t>Analyse one complex's past bills and two weeks of live data.</t>
  </si>
  <si>
    <t>P117</t>
  </si>
  <si>
    <t>Peak-hour electricity at peak-hour prices</t>
  </si>
  <si>
    <t>Time-of-day electricity tariffs are rolling out across Indian states and charge commercial and industrial users more at peak hours. Small factories and cold stores don't know how their usage maps to the tariff or how to shift it.</t>
  </si>
  <si>
    <t>Owners of small factories, cold storages and restaurants.</t>
  </si>
  <si>
    <t>Smart meters are being installed across India, which makes time-of-day billing the norm. Electricity is one of the largest costs for small manufacturers.</t>
  </si>
  <si>
    <t>Help small businesses cut electricity bills under time-of-day tariffs.</t>
  </si>
  <si>
    <t>Monthly electricity cost per unit of output.</t>
  </si>
  <si>
    <t>bill and tariff analysis; load-shifting schedules; payback on equipment upgrades.</t>
  </si>
  <si>
    <t>Smart-meter data access, and tariffs that differ by state.</t>
  </si>
  <si>
    <t>Analyse bills for five businesses and recommend actions the owners agree with.</t>
  </si>
  <si>
    <t>P118</t>
  </si>
  <si>
    <t>Deadstock fabric piling up in warehouses</t>
  </si>
  <si>
    <t>Garment exporters and mills accumulate surplus and deadstock fabric. Small designers and brands want small quantities but can't find it or trust it.</t>
  </si>
  <si>
    <t>Mills and exporters with deadstock, and small fashion labels.</t>
  </si>
  <si>
    <t>Europe is introducing producer responsibility for textiles, and deadstock is cash stuck in warehouses. Small labels want sustainable fabric at low minimums.</t>
  </si>
  <si>
    <t>Help deadstock fabric reach buyers who will use it.</t>
  </si>
  <si>
    <t>Metres of deadstock sold per month.</t>
  </si>
  <si>
    <t>lots catalogued from photos and specs; a marketplace for small lots.</t>
  </si>
  <si>
    <t>Quality grading, small-lot logistics and trust.</t>
  </si>
  <si>
    <t>List 100 real lots from two suppliers and close three sales or firm orders.</t>
  </si>
  <si>
    <t>P119</t>
  </si>
  <si>
    <t>Repair, don't replace</t>
  </si>
  <si>
    <t>The EU Right to Repair Directive, which member states must apply from July 2026, requires manufacturers to repair certain products and supports independent repair. Consumers still don't know where to repair, what it costs or whether it's worth it, and independent repairers are hard to find.</t>
  </si>
  <si>
    <t>European consumers and independent repair shops.</t>
  </si>
  <si>
    <t>New repair rights create demand, and countries such as France and Austria pay repair bonuses that cut the cost. Whoever routes consumers to repairers sits on that flow.</t>
  </si>
  <si>
    <t>Make repair the easy choice for consumers.</t>
  </si>
  <si>
    <t>Share of users who choose repair after getting an estimate.</t>
  </si>
  <si>
    <t>a repair-or-replace estimator; a repairer marketplace with quotes; help claiming repair bonuses.</t>
  </si>
  <si>
    <t>Parts availability, repairer quality and differences between countries.</t>
  </si>
  <si>
    <t>Build for one product category and test with repairers and consumers.</t>
  </si>
  <si>
    <t>P120</t>
  </si>
  <si>
    <t>Plastic EPR targets nobody understands</t>
  </si>
  <si>
    <t>Under India's EPR rules for plastic packaging, brands must register, report packaging volumes and meet recycling targets through certificates. Small brands find the process confusing, and many aren't compliant.</t>
  </si>
  <si>
    <t>D2C and FMCG brand owners, importers and EPR consultants.</t>
  </si>
  <si>
    <t>Recykal raised large rounds on EPR and waste markets, and marketplaces increasingly ask brands for proof of compliance. Every brand that uses plastic packaging is covered.</t>
  </si>
  <si>
    <t>Help small brands comply with plastic EPR accurately and cheaply.</t>
  </si>
  <si>
    <t>Hours to complete a brand's annual EPR filing.</t>
  </si>
  <si>
    <t>packaging inventory capture; obligation calculation; certificate price comparison.</t>
  </si>
  <si>
    <t>Portal processes, rule changes and certificate market integrity.</t>
  </si>
  <si>
    <t>Compute obligations for three real brands.</t>
  </si>
  <si>
    <t>P121</t>
  </si>
  <si>
    <t>A shrimp pond that dies overnight</t>
  </si>
  <si>
    <t>Shrimp farmers in Indonesia, Vietnam and Andhra Pradesh can lose a whole pond to disease or bad water within days. Most check water quality by hand, feed by guesswork and sell to the first trader who offers.</t>
  </si>
  <si>
    <t>Small and mid-size shrimp farmers, hatcheries and feed suppliers.</t>
  </si>
  <si>
    <t>Shrimp is one of Asia's most valuable aquaculture exports, and aquaculture tech companies such as JALA have raised money. One crop failure can wipe out a farmer's year.</t>
  </si>
  <si>
    <t>Help shrimp farmers prevent crop losses and sell at better prices.</t>
  </si>
  <si>
    <t>Share of days with water quality recorded and out-of-range readings acted on.</t>
  </si>
  <si>
    <t>water quality logging with alerts; feed planning; price discovery across buyers.</t>
  </si>
  <si>
    <t>Farmers' phones and connectivity, sensor costs (manual readings work), and trader relationships.</t>
  </si>
  <si>
    <t>Run water logging and alerts with three farms, in Andhra or online, for two weeks.</t>
  </si>
  <si>
    <t>Data: Google Sheets, Python + pandas in Colab, Metabase or Supabase dashboards; Mobile: Progressive web app, Expo (React Native), MSG91 or Twilio SMS</t>
  </si>
  <si>
    <t>P122</t>
  </si>
  <si>
    <t>Should the delivery fleet go electric?</t>
  </si>
  <si>
    <t>Logistics companies and small fleet owners hear that electric three-wheelers and vans are cheaper to run, but they can't tell what that means for their routes, loads and financing. Many delay the switch or buy the wrong vehicle.</t>
  </si>
  <si>
    <t>Small fleet owners, last-mile logistics companies and EV dealers.</t>
  </si>
  <si>
    <t>Commercial vehicles are electrifying faster than any other segment in India, and EV fleet leasing companies have raised large rounds. Total cost of ownership decides adoption.</t>
  </si>
  <si>
    <t>Help fleet owners decide whether and how to electrify.</t>
  </si>
  <si>
    <t>Share of pilot fleet owners who make a switching decision after the analysis.</t>
  </si>
  <si>
    <t>cost of ownership from real routes and duty cycles; financing and resale comparison; charging plans.</t>
  </si>
  <si>
    <t>Battery degradation data, resale uncertainty and charging access.</t>
  </si>
  <si>
    <t>Run the analysis for five real fleets.</t>
  </si>
  <si>
    <t>P123</t>
  </si>
  <si>
    <t>The flood risk no listing mentions</t>
  </si>
  <si>
    <t>Homebuyers in Florida, Texas, Chennai or Bengaluru often learn about flood risk only after buying. US insurers are raising premiums or leaving high-risk areas, and climate-risk data on listing portals remains contested.</t>
  </si>
  <si>
    <t>Homebuyers, renters, mortgage brokers and agents.</t>
  </si>
  <si>
    <t>Climate risk data companies such as First Street have raised money, and lenders and insurers are starting to price risk. Most buyers still don't see it at the moment they decide.</t>
  </si>
  <si>
    <t>Help buyers understand climate risk to a specific property before committing.</t>
  </si>
  <si>
    <t>Share of pilot buyers who change an offer or a choice after seeing the report.</t>
  </si>
  <si>
    <t>risk reports from public flood maps and past events; insurance cost estimates; disclosure tools for agents.</t>
  </si>
  <si>
    <t>Uncertain data and liability, contested methods and agent incentives.</t>
  </si>
  <si>
    <t>Produce reports for 20 real addresses in one city and test with five buyers or agents.</t>
  </si>
  <si>
    <t>P124</t>
  </si>
  <si>
    <t>A used EV with a mystery battery</t>
  </si>
  <si>
    <t>Used-EV buyers can't easily check battery health, the most expensive part of the car. Dealers price that uncertainty in, which slows the used-EV market.</t>
  </si>
  <si>
    <t>Used-EV buyers and sellers, dealers and fleet remarketers.</t>
  </si>
  <si>
    <t>The EU's battery regulation requires battery passports from 2027, and battery health certification is a funded category. Resale values affect whether people buy EVs new.</t>
  </si>
  <si>
    <t>Make battery health transparent and trusted at the point of sale.</t>
  </si>
  <si>
    <t>Gap between estimated battery health and a service-centre diagnostic.</t>
  </si>
  <si>
    <t>estimates from telematics or diagnostic-port data; standard health certificates.</t>
  </si>
  <si>
    <t>Manufacturer data access, vehicle variety and liability.</t>
  </si>
  <si>
    <t>Estimate battery health for a few vehicles and compare with service-centre diagnostics.</t>
  </si>
  <si>
    <t>P125</t>
  </si>
  <si>
    <t>The agri-input shop that is also the village bank</t>
  </si>
  <si>
    <t>Farmers buy seed, fertiliser and pesticide on credit from local input dealers and pay after harvest. Dealers carry this credit on their own books with little data, and defaults in a bad season can sink them.</t>
  </si>
  <si>
    <t>Agri-input dealers and farmers, and the companies and lenders behind them.</t>
  </si>
  <si>
    <t>Input dealers are a main source of informal farm credit in rural India, and agritech companies like DeHaat and AgroStar built large businesses around them. Formal lenders want to reach farmers through this channel but lack data.</t>
  </si>
  <si>
    <t>Help input dealers extend credit to farmers safely and get paid.</t>
  </si>
  <si>
    <t>Share of credit sales repaid on time at a pilot dealer.</t>
  </si>
  <si>
    <t>digital credit ledgers with repayment reminders; farmer credit histories lenders accept; repayment plans tied to crops.</t>
  </si>
  <si>
    <t>RBI lending rules, farmers' trust and seasonal risk.</t>
  </si>
  <si>
    <t>Digitise one dealer's credit ledger for a season and design the repayment flow.</t>
  </si>
  <si>
    <t>P126</t>
  </si>
  <si>
    <t>A tractor for one day</t>
  </si>
  <si>
    <t>Smallholders in Nigeria and Kenya can't afford tractors, while tractor owners can't find enough paying work. Booking runs through agents, with long waits during planting.</t>
  </si>
  <si>
    <t>Smallholder farmers, tractor owners and booking agents.</t>
  </si>
  <si>
    <t>Hello Tractor has shown the model works, and mechanisation remains very low across sub-Saharan Africa. Planting delays cut harvests.</t>
  </si>
  <si>
    <t>Help smallholders get timely mechanisation and owners earn more.</t>
  </si>
  <si>
    <t>Tractor utilisation days per month for owners in the pilot.</t>
  </si>
  <si>
    <t>agent-led booking over USSD or WhatsApp; grouping nearby bookings into efficient routes; pay-as-you-go.</t>
  </si>
  <si>
    <t>Connectivity, trust and seasonal peaks.</t>
  </si>
  <si>
    <t>Simulate booking and routing for a season and validate with agents or Karnataka rental operators.</t>
  </si>
  <si>
    <t>Maps: Google Maps Platform, Mapbox, Ola Maps, OpenStreetMap; Mobile: Progressive web app, Expo (React Native), MSG91 or Twilio SMS</t>
  </si>
  <si>
    <t>P127</t>
  </si>
  <si>
    <t>The kabadiwala economy runs on cash and guesswork</t>
  </si>
  <si>
    <t>Much of India's recycling runs through kabadiwalas and scrap dealers who buy paper, plastic and metal from homes and shops. Prices are opaque, weights are disputed, and recyclers can't get steady, sorted supply.</t>
  </si>
  <si>
    <t>Scrap dealers, the households and businesses selling scrap, and the recyclers buying it.</t>
  </si>
  <si>
    <t>EPR rules make brands pay for recycling, which pushes money into collection, and scrap-collection startups have raised funding. The informal network already does most of the work.</t>
  </si>
  <si>
    <t>Help the scrap trade run with fair prices and reliable supply.</t>
  </si>
  <si>
    <t>Kilograms of sorted scrap traded per week through the pilot.</t>
  </si>
  <si>
    <t>price transparency by material and area; pickups booked over WhatsApp; supply contracts between dealers and recyclers.</t>
  </si>
  <si>
    <t>Informal relationships, weight disputes and cash-based trade.</t>
  </si>
  <si>
    <t>Work with two scrap dealers for two weeks.</t>
  </si>
  <si>
    <t>WhatsApp: WhatsApp Cloud API (test number), Interakt or Gupshup, n8n; Maps: Google Maps Platform, Mapbox, Ola Maps, OpenStreetMap</t>
  </si>
  <si>
    <t>P128</t>
  </si>
  <si>
    <t>Getting the deposit back</t>
  </si>
  <si>
    <t>G. Cities, mobility, logistics and real estate</t>
  </si>
  <si>
    <t>Tenants in Bengaluru often pay deposits of six to ten months' rent. At move-out, landlords deduct for painting and damage with little proof, and the tenant has no record of what the flat looked like on day one.</t>
  </si>
  <si>
    <t>Students and young professionals who rent, along with small landlords and brokers.</t>
  </si>
  <si>
    <t>A deposit can run past a lakh, which is a lot of money for a 23-year-old. Most disputes end with the tenant giving up.</t>
  </si>
  <si>
    <t>Help tenants and landlords settle deposits fairly at move-out.</t>
  </si>
  <si>
    <t>Rupees disputed per move-out across pilot tenancies.</t>
  </si>
  <si>
    <t>a dated move-in condition record that both parties sign; a deduction calculator built on rates agreed at signing.</t>
  </si>
  <si>
    <t>Landlords hold most of the power. Deposit rules are rarely enforced, and photos can be staged.</t>
  </si>
  <si>
    <t>Document 15 real move-ins or move-outs with classmates and their landlords.</t>
  </si>
  <si>
    <t>P129</t>
  </si>
  <si>
    <t>Building your own house without getting cheated</t>
  </si>
  <si>
    <t>Many Indian families build their own home with a local contractor. Steel and cement prices move mid-project, contractors ask for stage payments early, and the family can't tell whether the work matches what they paid for.</t>
  </si>
  <si>
    <t>Families building independent houses in metros and smaller cities, and the contractors and site engineers they hire.</t>
  </si>
  <si>
    <t>It's usually the biggest purchase a family ever makes, and overruns are common enough that most families expect one. Home construction platforms such as Brick&amp;Bolt have raised money on this.</t>
  </si>
  <si>
    <t>Help families stay in control of cost and quality while their house is built.</t>
  </si>
  <si>
    <t>Cost overrun on one real project stage against the agreed budget.</t>
  </si>
  <si>
    <t>checking contractor quotes against a standard bill of quantities; stage sign-off with photos and an engineer's review; material price alerts. Interior fit-outs have the same problem and are fair game.</t>
  </si>
  <si>
    <t>Contractors resist oversight, families know little about construction, and no two sites are alike.</t>
  </si>
  <si>
    <t>Track one live home-building project for two weeks and review three contractor quotes.</t>
  </si>
  <si>
    <t>Docs: Claude (reads PDFs and photos), Google Document AI or AWS Textract; Vision: Claude vision, Roboflow</t>
  </si>
  <si>
    <t>P130</t>
  </si>
  <si>
    <t>Site photos nobody reads</t>
  </si>
  <si>
    <t>Mid-size contractors in the Gulf and India get daily progress as WhatsApp photos and voice notes from site supervisors. Project managers piece it together late, so delays surface at the monthly review.</t>
  </si>
  <si>
    <t>Project managers and owners at contractors running 5 to 30 sites, and their clients.</t>
  </si>
  <si>
    <t>A delay found a month late brings penalties, idle labour and arguments with the client over payment. Construction apps such as Powerplay have raised funding to digitise sites.</t>
  </si>
  <si>
    <t>Help contractors know the real state of every site each day.</t>
  </si>
  <si>
    <t>Hours between a delay starting and the project manager knowing about it.</t>
  </si>
  <si>
    <t>turning photos and voice notes into progress against the schedule; client-ready weekly reports that need no extra work.</t>
  </si>
  <si>
    <t>Supervisors won't fill forms. Photos miss things, and many schedules are out of date.</t>
  </si>
  <si>
    <t>Run with two sites of one contractor for a week and compare against the project manager's own view.</t>
  </si>
  <si>
    <t>Vision: Claude vision, Roboflow; Voice: Sarvam AI, Deepgram or Whisper, ElevenLabs, Vapi or Retell, Exotel or Twilio</t>
  </si>
  <si>
    <t>P131</t>
  </si>
  <si>
    <t>Is this land title clean?</t>
  </si>
  <si>
    <t>Buying a plot in India means checking title history, encumbrances, land-use conversion and court cases across Bhoomi records, sub-registrar offices and court portals. Buyers depend on lawyers and brokers, and forged-document frauds still happen.</t>
  </si>
  <si>
    <t>Plot and flat buyers, small developers, property lawyers and lenders.</t>
  </si>
  <si>
    <t>A bad title can wipe out a family's savings, and property disputes take years in civil courts.</t>
  </si>
  <si>
    <t>Help buyers and their advisers understand title risk before money changes hands.</t>
  </si>
  <si>
    <t>Share of title summaries a property lawyer agrees with on real cases.</t>
  </si>
  <si>
    <t>a chain-of-title timeline built from public records; reading encumbrance certificates and sale deeds, many of them in Kannada.</t>
  </si>
  <si>
    <t>Records are scattered and partly offline. Portal terms apply and CAPTCHAs must not be bypassed. It supports a lawyer and never replaces one.</t>
  </si>
  <si>
    <t>Summarise titles for five real properties, with documents shared by consent, and compare against a lawyer's opinion.</t>
  </si>
  <si>
    <t>P132</t>
  </si>
  <si>
    <t>Which truck actually makes money?</t>
  </si>
  <si>
    <t>Owners of 5 to 20 trucks track fuel, tolls, driver advances, tyres and repairs in diaries. They know the month's bank balance but not which truck, route or driver loses money.</t>
  </si>
  <si>
    <t>Small fleet owners, their accountants and drivers.</t>
  </si>
  <si>
    <t>Small operators own most of India's trucks, and margins are thin enough that one bad route can wipe out a month. BlackBuck, which serves these truckers, listed on the stock market in 2024.</t>
  </si>
  <si>
    <t>Help small fleet owners see profit per truck and per trip.</t>
  </si>
  <si>
    <t>Share of trips in a month with a complete profit figure.</t>
  </si>
  <si>
    <t>combining FASTag and fuel-card data with trip logs; driver expense capture by voice; spotting fuel theft and idle days.</t>
  </si>
  <si>
    <t>Many drivers can't read well, plenty of payments are in cash, and owners guard their numbers.</t>
  </si>
  <si>
    <t>Build a month of trip-level profit for one owner's fleet.</t>
  </si>
  <si>
    <t>P133</t>
  </si>
  <si>
    <t>"Near the temple, opposite the old bank"</t>
  </si>
  <si>
    <t>Indian addresses are often descriptive and inconsistent. Delivery partners call customers for directions, deliveries fail, and every company maps the same house differently.</t>
  </si>
  <si>
    <t>Delivery and quick-commerce operators, and customers in unplanned neighbourhoods.</t>
  </si>
  <si>
    <t>Each failed attempt costs money, and India Post's DIGIPIN shows the government sees it as a national problem.</t>
  </si>
  <si>
    <t>Help deliveries reach the right door on the first try.</t>
  </si>
  <si>
    <t>First-attempt delivery success rate in the test area.</t>
  </si>
  <si>
    <t>address parsing and geocoding tuned to Indian landmarks; learning from where past deliveries actually ended; a quick pin confirmation from the customer.</t>
  </si>
  <si>
    <t>Location data is personal. Map data has licensing terms, and large apartment complexes confuse geocoders.</t>
  </si>
  <si>
    <t>Take one pin code and 300 real or realistic addresses, then measure geocoding accuracy against locations checked on foot.</t>
  </si>
  <si>
    <t>P134</t>
  </si>
  <si>
    <t>The last two kilometres from the metro</t>
  </si>
  <si>
    <t>Bengaluru's metro keeps growing, but many riders still need an auto, a bike taxi or a long walk at each end. Feeder buses are infrequent and hard to track, so people drive.</t>
  </si>
  <si>
    <t>Metro commuters, office parks, and feeder bus and shuttle operators.</t>
  </si>
  <si>
    <t>Weak last-mile links keep metro ridership below what the network could carry and keep cars on the road.</t>
  </si>
  <si>
    <t>Make the trip from the station to the final destination predictable and cheap.</t>
  </si>
  <si>
    <t>Car trips replaced per commuter per week in a test group.</t>
  </si>
  <si>
    <t>pooled shuttles for an office park; door-to-door journey times built from open transit data.</t>
  </si>
  <si>
    <t>Karnataka's rules on bike taxis and aggregators keep changing, and driver earnings have to work.</t>
  </si>
  <si>
    <t>Map demand at one station and pilot a coordinated option with 20 regular commuters.</t>
  </si>
  <si>
    <t>P135</t>
  </si>
  <si>
    <t>Paying for containers that sit at the port</t>
  </si>
  <si>
    <t>Importers pay detention and demurrage when containers stay at ports or depots past their free days. Customs holds, missing documents and slow trucking cause the delays, and shipping-line invoices are hard to check.</t>
  </si>
  <si>
    <t>SME importers and exporters, freight forwarders and customs brokers.</t>
  </si>
  <si>
    <t>On a badly delayed shipment the charges can rival the freight bill, and some are billed in error.</t>
  </si>
  <si>
    <t>Help importers avoid these charges and dispute the wrong ones.</t>
  </si>
  <si>
    <t>Detention and demurrage charges paid per container.</t>
  </si>
  <si>
    <t>free-time tracking per container; checking invoices against carrier tariffs; dispute letters with the evidence attached.</t>
  </si>
  <si>
    <t>Carrier data access varies, tariffs are complex, and every port works differently.</t>
  </si>
  <si>
    <t>Audit three months of one importer's charges and estimate what could be recovered.</t>
  </si>
  <si>
    <t>P136</t>
  </si>
  <si>
    <t>Trucks parked because there's no driver</t>
  </si>
  <si>
    <t>Indian truck owners say a large share of their trucks sit idle for lack of drivers. Finding a reliable, licensed driver takes days of calls through agents, and drivers have no easy way to find good employers.</t>
  </si>
  <si>
    <t>Small fleet owners, transport companies and truck drivers.</t>
  </si>
  <si>
    <t>India's truck-driver shortage is widely reported, and every idle day is lost revenue on an expensive asset. Blue-collar job platforms serve warehouses and delivery well and long-haul trucking poorly.</t>
  </si>
  <si>
    <t>Help fleet owners find verified drivers fast.</t>
  </si>
  <si>
    <t>Days a truck sits idle waiting for a driver.</t>
  </si>
  <si>
    <t>a driver pool with licence and history checks; matching by route and vehicle type; hiring over WhatsApp or voice.</t>
  </si>
  <si>
    <t>Drivers' phones and literacy, licence verification, and trust on both sides.</t>
  </si>
  <si>
    <t>Match drivers to vacancies for three fleet owners over two weeks.</t>
  </si>
  <si>
    <t>P137</t>
  </si>
  <si>
    <t>Paying for a flat that isn't built yet</t>
  </si>
  <si>
    <t>Off-plan sales drive much of Dubai's property boom. Buyers pay instalments tied to construction milestones but have little independent view of progress or delay risk, especially when they live abroad.</t>
  </si>
  <si>
    <t>Off-plan buyers (many of them Indian), brokers and small developers in the UAE.</t>
  </si>
  <si>
    <t>Stalled projects hurt buyers in past cycles, and buyers want warning before the next instalment is due.</t>
  </si>
  <si>
    <t>Help off-plan buyers know whether their project is on track.</t>
  </si>
  <si>
    <t>Share of tracked projects whose reported status matches progress on site.</t>
  </si>
  <si>
    <t>project status pulled from Dubai Land Department and RERA public data; developer track records.</t>
  </si>
  <si>
    <t>Data availability and terms of use; developers may push back; this is not investment advice.</t>
  </si>
  <si>
    <t>Track ten real projects and test with five off-plan buyers. Indian buyers are easy to find.</t>
  </si>
  <si>
    <t>P138</t>
  </si>
  <si>
    <t>The service bill that doubled at the dealership</t>
  </si>
  <si>
    <t>Car owners in India pay dealership service centres well above independent garages for the same work, but many distrust garages after a bad experience. Nobody tells them what a job should cost or whether it's needed at all.</t>
  </si>
  <si>
    <t>Car owners outside warranty, independent garages and spare-parts suppliers.</t>
  </si>
  <si>
    <t>India's car parc is large and ageing, and organised car-service startups have raised money with mixed results. Trust in the garage is still the missing piece.</t>
  </si>
  <si>
    <t>Help car owners get fair, trustworthy service outside the dealership.</t>
  </si>
  <si>
    <t>Saving per service compared with the dealership estimate.</t>
  </si>
  <si>
    <t>estimates checked against standard labour times and parts prices; verified garage ratings; photo proof of replaced parts.</t>
  </si>
  <si>
    <t>Garage participation, parts authenticity and liability for repairs.</t>
  </si>
  <si>
    <t>Check 20 real service estimates and route five owners to verified garages.</t>
  </si>
  <si>
    <t>P139</t>
  </si>
  <si>
    <t>Will this builder hand over on time?</t>
  </si>
  <si>
    <t>Indian homebuyers book flats years before possession. Many projects run late, and buyers can't easily see a builder's delivery record, complaints or financial health before paying a large booking amount.</t>
  </si>
  <si>
    <t>Homebuyers, home-loan advisors and channel partners.</t>
  </si>
  <si>
    <t>Delayed projects have left many families paying rent and EMIs at the same time. RERA portals publish registration, progress and complaint data, but it's scattered and hard to read.</t>
  </si>
  <si>
    <t>Help homebuyers judge a builder's track record before booking.</t>
  </si>
  <si>
    <t>Share of pilot buyers who change or confirm a decision after seeing the report.</t>
  </si>
  <si>
    <t>builder scorecards from RERA data, court cases and past projects; alerts when a project falls behind.</t>
  </si>
  <si>
    <t>Data quality differs by state portal, builders may object, and this is not investment advice.</t>
  </si>
  <si>
    <t>Score ten Bengaluru builders from public data and test the reports with five buyers.</t>
  </si>
  <si>
    <t>P140</t>
  </si>
  <si>
    <t>Delivery riders and the roads that hurt them</t>
  </si>
  <si>
    <t>Delivery riders spend ten or more hours a day on two-wheelers under time pressure. Accidents are common, and companies know little about where and why they happen.</t>
  </si>
  <si>
    <t>Fleet managers at delivery and logistics companies, riders and insurers.</t>
  </si>
  <si>
    <t>Injuries and deaths are a human and financial cost, and platforms face growing pressure on rider welfare.</t>
  </si>
  <si>
    <t>Help fleets reduce rider accidents.</t>
  </si>
  <si>
    <t>Risky events per hundred kilometres in a pilot group of riders.</t>
  </si>
  <si>
    <t>detecting harsh braking and speeding from phone sensors; accident hotspot maps; route suggestions that weigh safety alongside speed.</t>
  </si>
  <si>
    <t>Riders will see this as surveillance unless it helps them. Incentives reward speed, and phone sensors are noisy.</t>
  </si>
  <si>
    <t>Collect a week of phone-sensor data from ten riders who agree to it and map the risky events.</t>
  </si>
  <si>
    <t>P141</t>
  </si>
  <si>
    <t>Quarterly RERA filings for 200 projects</t>
  </si>
  <si>
    <t>Real estate developers must file quarterly progress, finance and sales updates for every registered project with their state's RERA authority. Mid-size developers juggle these across projects in spreadsheets, and late filings bring penalties and buyer complaints.</t>
  </si>
  <si>
    <t>Compliance and project teams at developers, and the CAs and engineers who certify the filings.</t>
  </si>
  <si>
    <t>RERA covers new residential projects above a size threshold, and buyers check the portals before booking. Developers already pay consultants for this work.</t>
  </si>
  <si>
    <t>Help developers keep RERA filings accurate and on time.</t>
  </si>
  <si>
    <t>Share of quarterly filings submitted on time without corrections.</t>
  </si>
  <si>
    <t>progress and finance data pulled from project systems; checks against each state's format; project updates buyers can read.</t>
  </si>
  <si>
    <t>Formats differ by state, data sits with different teams, and filings need certification.</t>
  </si>
  <si>
    <t>Prepare one quarter's filing for one real or realistic project.</t>
  </si>
  <si>
    <t>P142</t>
  </si>
  <si>
    <t>Hosting a short-term rental in Europe now means paperwork</t>
  </si>
  <si>
    <t>The EU's short-term rental regulation, which applies from May 2026, requires registration numbers and data sharing with authorities. Cities such as Barcelona and Amsterdam add their own limits, and small hosts struggle to keep up.</t>
  </si>
  <si>
    <t>Small hosts and property managers in European cities.</t>
  </si>
  <si>
    <t>Listings without valid registration can be taken down, and city fines are heavy.</t>
  </si>
  <si>
    <t>Help small hosts stay compliant without hiring a property manager.</t>
  </si>
  <si>
    <t>Share of a host's listings that fully meet their city's rules.</t>
  </si>
  <si>
    <t>city-specific checklists; tracking night caps across platforms.</t>
  </si>
  <si>
    <t>Rules differ by city and change often, and this is not legal advice.</t>
  </si>
  <si>
    <t>Map the rules for three cities and test with five hosts online.</t>
  </si>
  <si>
    <t>P143</t>
  </si>
  <si>
    <t>Can I build a backyard unit?</t>
  </si>
  <si>
    <t>California has eased the rules for accessory dwelling units, but homeowners still can't easily tell what they can build on their lot, what it will cost or how long permits take.</t>
  </si>
  <si>
    <t>California homeowners, ADU builders and architects.</t>
  </si>
  <si>
    <t>ADUs add housing and rental income, and many interested homeowners give up at the feasibility stage.</t>
  </si>
  <si>
    <t>Help homeowners decide quickly whether an ADU makes sense for their property.</t>
  </si>
  <si>
    <t>Share of feasibility answers a builder agrees with on real parcels.</t>
  </si>
  <si>
    <t>parcel and zoning checks; cost and rental income estimates; permit timelines by city.</t>
  </si>
  <si>
    <t>Zoning is complex, county data access varies, and wrong answers create liability.</t>
  </si>
  <si>
    <t>Produce feasibility reports for 20 real parcels in one city and review them with an ADU builder online.</t>
  </si>
  <si>
    <t>Maps: Google Maps Platform, Mapbox, Ola Maps, OpenStreetMap; Docs: Claude (reads PDFs and photos), Google Document AI or AWS Textract</t>
  </si>
  <si>
    <t>P144</t>
  </si>
  <si>
    <t>A truck waiting four days at the Malaba border</t>
  </si>
  <si>
    <t>Trucks moving goods between Kenya, Uganda, Rwanda and Tanzania lose days at border posts waiting on customs documents, clearances and payments. Shippers can't predict arrival, and truckers lose trips.</t>
  </si>
  <si>
    <t>Freight forwarders, trucking companies, shippers and customs agents in East Africa.</t>
  </si>
  <si>
    <t>The African Continental Free Trade Area aims to raise trade between African countries, and East African trucking startups such as Lori Systems raised money on this corridor. Border delays are among the largest costs in the trip.</t>
  </si>
  <si>
    <t>Help shippers and truckers move goods across borders with fewer delays.</t>
  </si>
  <si>
    <t>Hours spent at the border per crossing for pilot shipments.</t>
  </si>
  <si>
    <t>document readiness checks before the truck leaves; border wait predictions; status tracking for shippers.</t>
  </si>
  <si>
    <t>Customs systems and data access, informal processes and connectivity.</t>
  </si>
  <si>
    <t>Map the document flow for one corridor and test a readiness checker with two freight forwarders online.</t>
  </si>
  <si>
    <t>P145</t>
  </si>
  <si>
    <t>Empty seats on the overnight bus</t>
  </si>
  <si>
    <t>Private intercity bus operators sell through booking platforms and agents. Prices are set by gut, seats go empty midweek, and platform commissions are steep.</t>
  </si>
  <si>
    <t>Operators running 10 to 100 buses, and their passengers.</t>
  </si>
  <si>
    <t>Occupancy and pricing decide whether a route makes money at all.</t>
  </si>
  <si>
    <t>Help bus operators fill seats profitably.</t>
  </si>
  <si>
    <t>Revenue per trip on a real route.</t>
  </si>
  <si>
    <t>demand forecasting and dynamic pricing; direct booking over WhatsApp; route and schedule analysis.</t>
  </si>
  <si>
    <t>Platform contracts, price-sensitive travellers and seasonal swings.</t>
  </si>
  <si>
    <t>Analyse one operator's bookings on two routes and test pricing on a few trips.</t>
  </si>
  <si>
    <t>P146</t>
  </si>
  <si>
    <t>Wages for work nobody recorded</t>
  </si>
  <si>
    <t>Construction sites hire daily-wage migrant workers through labour contractors. Attendance is kept on paper or not at all, wages are paid in cash after deductions, and disputes are frequent.</t>
  </si>
  <si>
    <t>Construction firms, labour contractors and workers.</t>
  </si>
  <si>
    <t>Wage disputes lead to walkouts and legal risk, and workers lose money they earned.</t>
  </si>
  <si>
    <t>Make attendance and wages on construction sites accurate and visible to workers.</t>
  </si>
  <si>
    <t>Wage disputes per month on a pilot site.</t>
  </si>
  <si>
    <t>attendance on a shared phone with QR or face check-in; wage statements sent to workers as voice messages in their language.</t>
  </si>
  <si>
    <t>Workers' phone access, contractor resistance and biometric privacy.</t>
  </si>
  <si>
    <t>Pilot attendance on one site with 30 workers for two weeks.</t>
  </si>
  <si>
    <t>P147</t>
  </si>
  <si>
    <t>Shipping 200 kilos to another city</t>
  </si>
  <si>
    <t>Small manufacturers and traders often ship part loads between cities. Rates are opaque, transporters are unreliable, and goods arrive late or damaged with nobody accountable.</t>
  </si>
  <si>
    <t>SME shippers, transporters and the customers waiting for the goods.</t>
  </si>
  <si>
    <t>Freight is a large cost for small firms, and late deliveries lose customers.</t>
  </si>
  <si>
    <t>Help small shippers move part loads reliably at a fair price.</t>
  </si>
  <si>
    <t>On-time delivery rate across real consignments.</t>
  </si>
  <si>
    <t>booking with consolidated rates; tracking through transporters' WhatsApp updates; transporter ratings.</t>
  </si>
  <si>
    <t>Transporters are fragmented, rates swing, and damage is hard to pin on anyone.</t>
  </si>
  <si>
    <t>Ship or track 20 real consignments for SMEs in the family network.</t>
  </si>
  <si>
    <t>P148</t>
  </si>
  <si>
    <t>Empty warehouse space next to brands that need it</t>
  </si>
  <si>
    <t>Brands and online sellers need short-term warehouse space close to their customers, while many warehouses in hubs like Bhiwandi and Hoskote sit partly empty. Leases are long, minimums are high, and finding space takes weeks of broker calls.</t>
  </si>
  <si>
    <t>D2C brands, importers and SMEs, and owners of small and mid-size warehouses.</t>
  </si>
  <si>
    <t>Faster delivery promises have pushed inventory closer to cities, and on-demand warehousing companies such as WareIQ have raised money. Empty space is lost income for owners.</t>
  </si>
  <si>
    <t>Help businesses find and use warehouse space flexibly.</t>
  </si>
  <si>
    <t>Days from a space request to goods stored.</t>
  </si>
  <si>
    <t>a live inventory of available space with real terms; short-term contracts; basic stock visibility for the brand.</t>
  </si>
  <si>
    <t>Owners resist short terms, quality varies, and insurance and liability need sorting out.</t>
  </si>
  <si>
    <t>List space from five real warehouses and place one real brand's request.</t>
  </si>
  <si>
    <t>P149</t>
  </si>
  <si>
    <t>Where should the next outlet go?</t>
  </si>
  <si>
    <t>Restaurant chains, clinics and retail brands in India and the Gulf pick new locations by visiting and guessing. A bad site locks them into a lease that loses money for years.</t>
  </si>
  <si>
    <t>Expansion teams at franchise and retail chains, and franchisees.</t>
  </si>
  <si>
    <t>Each outlet is a large investment, and location is the one thing they can't change after signing.</t>
  </si>
  <si>
    <t>Help chains choose locations with better evidence.</t>
  </si>
  <si>
    <t>How closely site scores track the actual sales of the chain's existing outlets.</t>
  </si>
  <si>
    <t>combining footfall proxies, demographics and competitor locations from public data; estimating how much a new outlet would eat into existing ones.</t>
  </si>
  <si>
    <t>Good data is expensive or missing, and local knowledge matters.</t>
  </si>
  <si>
    <t>Score 20 candidate sites for one real chain and back-test against its current outlets.</t>
  </si>
  <si>
    <t>P150</t>
  </si>
  <si>
    <t>A wardrobe full of clothes worn twice</t>
  </si>
  <si>
    <t>H. Consumer, creators, travel and hospitality</t>
  </si>
  <si>
    <t>People own clothes they rarely wear, and reselling them is a chore: photographing, pricing, listing and shipping one item at a time. Most of it ends up stored or thrown away.</t>
  </si>
  <si>
    <t>Young urban consumers in India and abroad, and resale platforms.</t>
  </si>
  <si>
    <t>Resale platforms such as Vinted and ThredUp have built large businesses, and Europe is introducing producer responsibility for textiles. The effort of listing is the biggest barrier for sellers.</t>
  </si>
  <si>
    <t>Make reselling clothes nearly effortless.</t>
  </si>
  <si>
    <t>Minutes per item from photo to live listing.</t>
  </si>
  <si>
    <t>listings generated from one photo with a suggested price; bulk pickup; consignment.</t>
  </si>
  <si>
    <t>Item condition, authenticity for branded goods, and logistics cost.</t>
  </si>
  <si>
    <t>List 50 real items for ten sellers and track what sells.</t>
  </si>
  <si>
    <t>P151</t>
  </si>
  <si>
    <t>Creators who don't know what to charge</t>
  </si>
  <si>
    <t>Indian creators with 10,000 to 200,000 followers get brand deals through DMs. They underprice, sign vague agreements and wait months to be paid.</t>
  </si>
  <si>
    <t>Micro-creators, small talent agencies and the brands that hire them.</t>
  </si>
  <si>
    <t>Most of India's creator economy is small creators negotiating alone with no reference point.</t>
  </si>
  <si>
    <t>Help small creators price, contract and get paid fairly.</t>
  </si>
  <si>
    <t>Average fee per live deal compared with each creator's previous rate.</t>
  </si>
  <si>
    <t>rate benchmarks from real deal data; one-page contracts and invoices; payment reminders that don't burn the relationship.</t>
  </si>
  <si>
    <t>Benchmark data barely exists, and brands resist formal terms.</t>
  </si>
  <si>
    <t>Work with ten creators on deals that happen during the hackathon.</t>
  </si>
  <si>
    <t>P152</t>
  </si>
  <si>
    <t>Royalties Indian musicians never collect</t>
  </si>
  <si>
    <t>Independent musicians and lyricists in India earn royalties from streaming, broadcast, live performance and sync, but collection is split across distributors, collecting societies and labels. Many never register their works or claim what they're owed.</t>
  </si>
  <si>
    <t>Independent artists, songwriters, small labels and music publishers.</t>
  </si>
  <si>
    <t>Music streaming in India is growing fast, and music rights companies around the world have raised large sums. Unclaimed royalties are money artists earned and never see.</t>
  </si>
  <si>
    <t>Help independent artists register their works and collect all their royalties.</t>
  </si>
  <si>
    <t>Royalty income identified per artist that wasn't being collected.</t>
  </si>
  <si>
    <t>work registration across societies and distributors; matching streams and broadcasts to works; all royalty statements in one place.</t>
  </si>
  <si>
    <t>Data access from platforms and societies, ownership disputes, and legal complexity.</t>
  </si>
  <si>
    <t>Audit the catalogues of five real artists and identify uncollected royalties.</t>
  </si>
  <si>
    <t>P153</t>
  </si>
  <si>
    <t>A fifth of every booking goes to the OTA</t>
  </si>
  <si>
    <t>Homestays and small hotels in Goa, Kerala and the hills get most bookings through online travel agents that take large commissions. Guests rarely book direct because they can't find the property's own channel or don't trust it.</t>
  </si>
  <si>
    <t>Homestay owners and small hotel operators.</t>
  </si>
  <si>
    <t>Commissions take most of a small property's margin.</t>
  </si>
  <si>
    <t>Help small properties win more direct bookings.</t>
  </si>
  <si>
    <t>Share of bookings made direct at a real property.</t>
  </si>
  <si>
    <t>a direct booking page with instant WhatsApp confirmation; bringing past guests back for a second stay; a clear view of what each channel really costs.</t>
  </si>
  <si>
    <t>OTA contract terms, guest trust and handling payments safely.</t>
  </si>
  <si>
    <t>Set it up with one homestay and run it for two weeks.</t>
  </si>
  <si>
    <t>P154</t>
  </si>
  <si>
    <t>Three months for a Schengen appointment</t>
  </si>
  <si>
    <t>Indians applying for Schengen and UK visas face appointment slots that vanish in minutes, agents who resell slots, rejections over documents and requirements that differ by consulate.</t>
  </si>
  <si>
    <t>Indian travellers, students, business visitors and travel agents.</t>
  </si>
  <si>
    <t>People miss trips, lose money on bookings and carry a rejection on their record. Visa-processing startups such as Atlys have raised money on this.</t>
  </si>
  <si>
    <t>Help applicants get through the visa process with fewer surprises.</t>
  </si>
  <si>
    <t>Document-related rejection rate among applicants the product helps.</t>
  </si>
  <si>
    <t>document checklists by country and purpose; a file review before submission.</t>
  </si>
  <si>
    <t>Consulates ban slot bots and resale. Requirements change, and this is not legal advice. Itinerary planning is out of scope.</t>
  </si>
  <si>
    <t>Help ten real applicants prepare their files.</t>
  </si>
  <si>
    <t>P155</t>
  </si>
  <si>
    <t>A thousand pilgrims, one tour operator</t>
  </si>
  <si>
    <t>Operators running Umrah, Char Dham or Kailash trips handle registrations, permits, medical certificates, rooms and transport for large groups through spreadsheets and calls.</t>
  </si>
  <si>
    <t>Pilgrimage operators, group leaders and pilgrims, many of them elderly.</t>
  </si>
  <si>
    <t>A missing permit or certificate can leave an elderly pilgrim stranded or turned back.</t>
  </si>
  <si>
    <t>Help pilgrimage operators run large group trips without document errors.</t>
  </si>
  <si>
    <t>Share of pilgrims with complete documents a week before departure.</t>
  </si>
  <si>
    <t>group document collection over WhatsApp; permit and slot tracking; updates to the whole group in their language.</t>
  </si>
  <si>
    <t>Permit systems such as Saudi Arabia's Nusuk and Uttarakhand's yatra registration change often, and many users are elderly.</t>
  </si>
  <si>
    <t>Run document collection for one operator's next group.</t>
  </si>
  <si>
    <t>P156</t>
  </si>
  <si>
    <t>New city, no friends</t>
  </si>
  <si>
    <t>Young professionals who move cities for work often stay lonely for months. Meetup apps feel awkward, and office friendships rarely carry into weekends.</t>
  </si>
  <si>
    <t>People aged 21 to 30 who relocate to Bengaluru, Dubai, London or similar cities.</t>
  </si>
  <si>
    <t>Loneliness affects health and work, and companies lose new hires who never settle.</t>
  </si>
  <si>
    <t>Help newcomers form real friendships in a new city.</t>
  </si>
  <si>
    <t>Share of participants who meet their group again within two weeks.</t>
  </si>
  <si>
    <t>small recurring groups by neighbourhood and interest; newcomer circles that employers sponsor.</t>
  </si>
  <si>
    <t>Safety, a cold start, and the risk of turning into a dating app.</t>
  </si>
  <si>
    <t>Run three small groups in Bengaluru for two weeks.</t>
  </si>
  <si>
    <t>P157</t>
  </si>
  <si>
    <t>Kids in New Jersey who can't speak to their grandparents</t>
  </si>
  <si>
    <t>Children of the Indian diaspora often understand little of their family's language, whether Tamil, Telugu, Gujarati or Punjabi. Weekend classes are hard to fit in, and language apps teach tourist phrases rather than family conversation.</t>
  </si>
  <si>
    <t>Diaspora parents in the US, UK, Canada, Australia and the Gulf, their children, and heritage-language teachers.</t>
  </si>
  <si>
    <t>The Indian diaspora is one of the largest and highest-earning in the world, and parents already pay for weekend schools and private tutors. Voice AI can now hold simple conversations in Indian languages.</t>
  </si>
  <si>
    <t>Help diaspora children learn to speak their family's language.</t>
  </si>
  <si>
    <t>Minutes of spoken practice per child per week.</t>
  </si>
  <si>
    <t>conversation practice with an AI voice in the family language; live small-group classes with teachers in India.</t>
  </si>
  <si>
    <t>Speech quality for children in Indian languages, keeping kids interested, and privacy.</t>
  </si>
  <si>
    <t>Run two weeks of practice with five diaspora families.</t>
  </si>
  <si>
    <t>P158</t>
  </si>
  <si>
    <t>The tiffin service run from a notebook</t>
  </si>
  <si>
    <t>Home chefs and small tiffin services feed office workers, students and elderly people on monthly subscriptions. Orders, skips, menus, payments and delivery routes live in notebooks and WhatsApp, and mistakes cost customers.</t>
  </si>
  <si>
    <t>Home chefs, tiffin and meal-subscription businesses, and their customers.</t>
  </si>
  <si>
    <t>Home-style daily meals are a huge informal market in Indian cities, and meal-subscription startups have raised funding. Most operators can't grow past a few dozen customers without better tools.</t>
  </si>
  <si>
    <t>Help tiffin services run subscriptions without errors.</t>
  </si>
  <si>
    <t>Missed or wrong deliveries per hundred meals.</t>
  </si>
  <si>
    <t>subscriptions with skips and pauses over WhatsApp; daily prep lists; delivery routes for staff.</t>
  </si>
  <si>
    <t>Operators' time and comfort with technology, and cash payments.</t>
  </si>
  <si>
    <t>Run with one tiffin service for two weeks.</t>
  </si>
  <si>
    <t>P159</t>
  </si>
  <si>
    <t>An online coach with 80 clients and a spreadsheet</t>
  </si>
  <si>
    <t>Thousands of fitness, yoga and wellness coaches in India run online programmes through WhatsApp, Google Sheets and UPI. Check-ins, plan updates and renewals take hours, and clients drop off without the coach noticing.</t>
  </si>
  <si>
    <t>Independent online coaches and their clients.</t>
  </si>
  <si>
    <t>Coaching is one of the largest creator businesses in India, and global platforms such as Trainerize are priced and designed for other markets. Better tools let a coach serve more clients without burning out.</t>
  </si>
  <si>
    <t>Help online coaches run their client base and keep clients longer.</t>
  </si>
  <si>
    <t>Client renewal rate for a pilot coach.</t>
  </si>
  <si>
    <t>check-ins and progress tracking over WhatsApp; renewal reminders and payments; flags for clients going quiet.</t>
  </si>
  <si>
    <t>Coaches' time, health data privacy, and no medical claims.</t>
  </si>
  <si>
    <t>Run one coach's client base through the product for two weeks.</t>
  </si>
  <si>
    <t>P160</t>
  </si>
  <si>
    <t>A dive shop in Bali booking through Instagram DMs</t>
  </si>
  <si>
    <t>Tour operators, dive shops and activity providers in Bali, Phuket and Vietnam take most bookings through Instagram and WhatsApp messages. The same questions repeat, deposits are chased by hand, and double bookings happen in peak season.</t>
  </si>
  <si>
    <t>Small tour and activity operators in Southeast Asia, and their guests.</t>
  </si>
  <si>
    <t>Tourism to Southeast Asia keeps growing, and booking software for tours and activities is a proven category (Booking Holdings bought FareHarbor). Small operators still run on chat.</t>
  </si>
  <si>
    <t>Help small activity operators take bookings and payments without the chat chaos.</t>
  </si>
  <si>
    <t>Share of enquiries that convert into paid bookings.</t>
  </si>
  <si>
    <t>an assistant that answers common questions and takes deposits inside the chat; a calendar that blocks double bookings.</t>
  </si>
  <si>
    <t>Platform messaging rules, payment methods by country, and languages.</t>
  </si>
  <si>
    <t>Run with one real operator for two weeks. Adventure operators in Goa or Rishikesh work as proxies.</t>
  </si>
  <si>
    <t>P161</t>
  </si>
  <si>
    <t>A medium in one brand, a large in the next</t>
  </si>
  <si>
    <t>Indian shoppers return many fashion orders because sizes vary between brands. Size charts confuse people, and Indian body shapes differ from the fit models brands design for.</t>
  </si>
  <si>
    <t>Online fashion shoppers and D2C fashion brands.</t>
  </si>
  <si>
    <t>Returns cost brands shipping both ways and cost shoppers time.</t>
  </si>
  <si>
    <t>Help shoppers choose the right size the first time.</t>
  </si>
  <si>
    <t>Size-related return rate on a real brand's orders.</t>
  </si>
  <si>
    <t>fit prediction from past purchases across brands; measurement from photos; mapping one brand's sizes to others.</t>
  </si>
  <si>
    <t>Body image is sensitive, measurements can be wrong, and body data is personal.</t>
  </si>
  <si>
    <t>Build size mapping for one D2C brand and test it with 30 shoppers.</t>
  </si>
  <si>
    <t>Data: Google Sheets, Python + pandas in Colab, Metabase or Supabase dashboards; Vision: Claude vision, Roboflow</t>
  </si>
  <si>
    <t>P162</t>
  </si>
  <si>
    <t>African creators who can't get paid</t>
  </si>
  <si>
    <t>Creators in Nigeria, Kenya and Ghana build big audiences but struggle to receive money from fans and global platforms. Payment rails are restricted, and currency swings eat their earnings.</t>
  </si>
  <si>
    <t>African creators, their fans and diaspora supporters.</t>
  </si>
  <si>
    <t>Audiences are growing much faster than creators' ability to earn from them.</t>
  </si>
  <si>
    <t>Help African creators earn from their audiences reliably.</t>
  </si>
  <si>
    <t>Fan payments received per creator per month.</t>
  </si>
  <si>
    <t>memberships and tips over mobile money; payments from diaspora fans abroad.</t>
  </si>
  <si>
    <t>Payment licensing, foreign exchange controls and fraud.</t>
  </si>
  <si>
    <t>Prototype a payment flow and interview ten creators online.</t>
  </si>
  <si>
    <t>P163</t>
  </si>
  <si>
    <t>Arriving in Toronto with no credit history</t>
  </si>
  <si>
    <t>Students and workers who move to Canada, the US, the UK or Australia arrive with no local credit history. They struggle to rent a flat, get a phone plan or a credit card, even with a strong record at home.</t>
  </si>
  <si>
    <t>International students and skilled migrants, and the landlords and lenders who serve them.</t>
  </si>
  <si>
    <t>Nova Credit raised money translating foreign credit histories, and millions of people move abroad for study and work each year. The first months cost newcomers larger deposits and higher prices.</t>
  </si>
  <si>
    <t>Help newcomers build or prove their creditworthiness quickly.</t>
  </si>
  <si>
    <t>Share of users approved for a rental or credit product in their first month.</t>
  </si>
  <si>
    <t>home-country credit records translated for lenders; secured cards and rent reporting; guarantor arrangements.</t>
  </si>
  <si>
    <t>Data sharing across countries, lending rules and fraud.</t>
  </si>
  <si>
    <t>Map the options for one country and guide five real newcomers.</t>
  </si>
  <si>
    <t>P164</t>
  </si>
  <si>
    <t>Sports academies running on WhatsApp</t>
  </si>
  <si>
    <t>Cricket, football, badminton and swimming academies run batches, fees, attendance and parent updates on WhatsApp and registers. Coaches can't track each child's progress, and parents can't see what they're paying for.</t>
  </si>
  <si>
    <t>Academy owners, coaches and parents.</t>
  </si>
  <si>
    <t>Youth sports participation is growing in Indian cities, and sports-tech startups have raised funding. Academies lose students when parents can't see progress.</t>
  </si>
  <si>
    <t>Help academies run their operations and show parents real progress.</t>
  </si>
  <si>
    <t>Share of fees collected on time.</t>
  </si>
  <si>
    <t>batch, fee and attendance management; short progress notes or clips sent to parents.</t>
  </si>
  <si>
    <t>Coaches' time, children's privacy and cash payments.</t>
  </si>
  <si>
    <t>Run with one academy for two weeks.</t>
  </si>
  <si>
    <t>P165</t>
  </si>
  <si>
    <t>Reward points that expire before anyone uses them</t>
  </si>
  <si>
    <t>People hold credit card points, airline miles and hotel points across many programmes. Transfer partners and redemption values change constantly, so most points get redeemed for little or expire unused.</t>
  </si>
  <si>
    <t>Credit card holders and frequent travellers in India, the US and the Gulf.</t>
  </si>
  <si>
    <t>India's premium credit card market has grown quickly, and points-optimisation companies such as point.me have raised funding in the US. Unused points are value consumers already own.</t>
  </si>
  <si>
    <t>Help people get the most value from points they already have.</t>
  </si>
  <si>
    <t>Value per point redeemed compared with the user's past redemptions.</t>
  </si>
  <si>
    <t>statements read to track balances and expiry; redemption options compared by value; alerts before points expire.</t>
  </si>
  <si>
    <t>Programme terms change often, card data is sensitive, and most programmes have no official API.</t>
  </si>
  <si>
    <t>Track balances for ten users and plan one real redemption each.</t>
  </si>
  <si>
    <t>P166</t>
  </si>
  <si>
    <t>The first 90 days in Dubai</t>
  </si>
  <si>
    <t>New expats in Dubai need an Emirates ID, medical test, bank account, housing, utilities, a phone plan and school places, in a particular order. Each step depends on another, and mistakes add weeks.</t>
  </si>
  <si>
    <t>New expats and HR teams at the companies hiring them.</t>
  </si>
  <si>
    <t>A slow start costs new hires money and time at work.</t>
  </si>
  <si>
    <t>Help newcomers get set up in the UAE quickly.</t>
  </si>
  <si>
    <t>Days from arrival to full setup.</t>
  </si>
  <si>
    <t>a setup plan based on job, visa type and family; reminders before documents expire.</t>
  </si>
  <si>
    <t>Rules change, and this is not legal advice.</t>
  </si>
  <si>
    <t>Guide five real newcomers (many students have relatives moving to the Gulf) or test with UAE HR teams.</t>
  </si>
  <si>
    <t>P167</t>
  </si>
  <si>
    <t>The concert ticket that was already sold</t>
  </si>
  <si>
    <t>Tickets for big concerts in India sell out in minutes and reappear in resale groups at several times the price. Many buyers end up with fake or duplicate tickets.</t>
  </si>
  <si>
    <t>Concert-goers, organisers and ticketing platforms.</t>
  </si>
  <si>
    <t>Fans lose money, and organisers lose trust.</t>
  </si>
  <si>
    <t>Help fans buy safely and keep tickets with real fans.</t>
  </si>
  <si>
    <t>Share of fraudulent listings caught in a test set of real resale listings.</t>
  </si>
  <si>
    <t>verified resale with proper ticket transfer; fraud signals in resale listings.</t>
  </si>
  <si>
    <t>Platforms may not cooperate, and resale has legal grey areas.</t>
  </si>
  <si>
    <t>Analyse 100 resale listings from a recent event and prototype a verified transfer.</t>
  </si>
  <si>
    <t>P168</t>
  </si>
  <si>
    <t>Followers you can't trust</t>
  </si>
  <si>
    <t>Brands paying influencers can't tell real reach from fake followers, engagement pods and bought likes. Campaigns disappoint and nobody knows why.</t>
  </si>
  <si>
    <t>Brand marketers, agencies and D2C founders.</t>
  </si>
  <si>
    <t>Influencer budgets are rising, and fake engagement wastes part of every one.</t>
  </si>
  <si>
    <t>Help brands judge influencer authenticity and what a campaign really delivered.</t>
  </si>
  <si>
    <t>How well authenticity scores predict which creators drove real sales in a past campaign.</t>
  </si>
  <si>
    <t>engagement pattern analysis; audience quality checks; attribution with codes and links.</t>
  </si>
  <si>
    <t>Platform API limits, and false positives hurt honest creators.</t>
  </si>
  <si>
    <t>Assess 30 creator accounts for one brand and compare against campaign outcomes.</t>
  </si>
  <si>
    <t>P169</t>
  </si>
  <si>
    <t>Travelling with a parent in a wheelchair</t>
  </si>
  <si>
    <t>Families planning trips with older or disabled relatives who use wheelchairs can't tell which hotels, attractions, taxis and stations are actually accessible. Listings say "accessible" without details, and trips end at stairs nobody mentioned.</t>
  </si>
  <si>
    <t>Families travelling with older or disabled relatives, and the hotels and tour operators that want their business.</t>
  </si>
  <si>
    <t>India's elderly population is growing fast, and accessible travel is a recognised market abroad. Verified accessibility information barely exists in India.</t>
  </si>
  <si>
    <t>Help families plan trips that work for a relative with limited mobility.</t>
  </si>
  <si>
    <t>Share of trips completed without an accessibility problem.</t>
  </si>
  <si>
    <t>verified accessibility details for hotels and attractions; bookings with accessible transport; reviews from travellers with disabilities.</t>
  </si>
  <si>
    <t>Verifying claims takes site visits, and needs vary from person to person. Itinerary generators stay out of scope.</t>
  </si>
  <si>
    <t>Verify 30 places in one city or destination and help five families plan a trip.</t>
  </si>
  <si>
    <t>P170</t>
  </si>
  <si>
    <t>Selling live to 300 viewers in Jakarta</t>
  </si>
  <si>
    <t>Small sellers in Indonesia, Vietnam and the Philippines sell through live streams on TikTok Shop and Shopee. One person hosts, reads comments, takes orders and tracks stock at the same time, and orders slip.</t>
  </si>
  <si>
    <t>Small live-commerce sellers and their helpers.</t>
  </si>
  <si>
    <t>Live selling is a large share of online retail in Southeast Asia.</t>
  </si>
  <si>
    <t>Help small sellers run live sales without losing orders.</t>
  </si>
  <si>
    <t>Share of comment orders captured correctly.</t>
  </si>
  <si>
    <t>turning comments into orders; live stock counts; follow-ups after the stream.</t>
  </si>
  <si>
    <t>Platform API limits and several languages.</t>
  </si>
  <si>
    <t>Support one live seller for three streams. Indian Instagram live sellers are a workable proxy.</t>
  </si>
  <si>
    <t>Agents: Claude tool use and MCP, Playwright or Browserbase, Firecrawl; Data: Google Sheets, Python + pandas in Colab, Metabase or Supabase dashboards</t>
  </si>
  <si>
    <t>P171</t>
  </si>
  <si>
    <t>The machine stopped and nobody wrote down why</t>
  </si>
  <si>
    <t>I. Industry, supply chain, security and dev tools</t>
  </si>
  <si>
    <t>Small manufacturers rarely record machine downtime. Operators restart and move on, so owners never learn which machines lose the most hours or why.</t>
  </si>
  <si>
    <t>Owners and production supervisors at MSME factories.</t>
  </si>
  <si>
    <t>Downtime is lost output, and small factories can't pay for sensors or manufacturing software.</t>
  </si>
  <si>
    <t>Help small factories see and reduce downtime without expensive hardware.</t>
  </si>
  <si>
    <t>Downtime hours per machine per week.</t>
  </si>
  <si>
    <t>one-tap or voice logging by operators; shift-end summaries on WhatsApp.</t>
  </si>
  <si>
    <t>Operators won't do extra work, and manual logs are only as good as the habit behind them.</t>
  </si>
  <si>
    <t>Log downtime on five machines in one factory for a week.</t>
  </si>
  <si>
    <t>P172</t>
  </si>
  <si>
    <t>Spotting defects with a phone camera</t>
  </si>
  <si>
    <t>Small factories inspect parts by eye at the end of the line. Inspectors get tired, defects slip through, and customers send back whole batches.</t>
  </si>
  <si>
    <t>Quality heads and inspectors at MSME manufacturers, and their customers.</t>
  </si>
  <si>
    <t>One rejected batch can cost a small supplier the customer.</t>
  </si>
  <si>
    <t>Help small factories catch defects more reliably.</t>
  </si>
  <si>
    <t>Agreement with an experienced inspector's calls on real parts.</t>
  </si>
  <si>
    <t>phone-based visual inspection trained on a handful of labelled examples; defect trends by shift and supplier.</t>
  </si>
  <si>
    <t>Shop-floor lighting, few defect examples to learn from, and products that change often.</t>
  </si>
  <si>
    <t>Train on one product with real defect samples and measure accuracy against the inspector.</t>
  </si>
  <si>
    <t>P173</t>
  </si>
  <si>
    <t>The production plan that changes every morning</t>
  </si>
  <si>
    <t>Job shops schedule orders on Excel and whiteboards. Rush orders, breakdowns and late material force constant replanning, and promised dates slip.</t>
  </si>
  <si>
    <t>Production planners and owners at job shops.</t>
  </si>
  <si>
    <t>Late deliveries lose customers, and overtime eats the margin.</t>
  </si>
  <si>
    <t>Help job shops plan production that holds up when things change.</t>
  </si>
  <si>
    <t>On-time delivery rate on a real order book.</t>
  </si>
  <si>
    <t>constraint-based scheduling; replanning in minutes when a machine goes down; realistic dates for customers.</t>
  </si>
  <si>
    <t>Messy data, planners who trust their own judgment, and shops that all work differently. Quoting is covered separately in P003.</t>
  </si>
  <si>
    <t>Schedule one shop's real order book for two weeks.</t>
  </si>
  <si>
    <t>P174</t>
  </si>
  <si>
    <t>One supplier away from shutting down</t>
  </si>
  <si>
    <t>Mid-size manufacturers often rely on one supplier for a critical part. They hear about that supplier's fire, insolvency or port delay when the shipment doesn't arrive.</t>
  </si>
  <si>
    <t>Procurement and supply-chain heads at mid-size manufacturers.</t>
  </si>
  <si>
    <t>A single missing part can stop a line for weeks.</t>
  </si>
  <si>
    <t>Help manufacturers see supplier risk before it hits production.</t>
  </si>
  <si>
    <t>Days of warning before a supplier problem would hit production.</t>
  </si>
  <si>
    <t>mapping which parts depend on which suppliers; watching news and filings for supplier trouble; finding backup suppliers.</t>
  </si>
  <si>
    <t>Little public data on small suppliers, and too many false alarms.</t>
  </si>
  <si>
    <t>Map one company's top 50 parts and their suppliers and run monitoring for two weeks.</t>
  </si>
  <si>
    <t>P175</t>
  </si>
  <si>
    <t>The factory audit staged for the day</t>
  </si>
  <si>
    <t>Garment factories in Tamil Nadu, Bangladesh and Vietnam face social compliance audits from global brands. Audits are announced, conditions are tidied up for the day, and workers' real complaints stay hidden.</t>
  </si>
  <si>
    <t>Brand compliance teams, factory managers and workers.</t>
  </si>
  <si>
    <t>European supply-chain due-diligence laws are raising the stakes for brands, and workers bear the cost of what audits miss.</t>
  </si>
  <si>
    <t>Help brands and factories understand real working conditions all year.</t>
  </si>
  <si>
    <t>Worker issues raised and resolved through the channel during the pilot.</t>
  </si>
  <si>
    <t>anonymous worker voice channels; grievance tracking through to resolution.</t>
  </si>
  <si>
    <t>Workers must be safe from retaliation. Management may resist, and several languages are involved.</t>
  </si>
  <si>
    <t>Prototype an anonymous channel and test it with workers at a factory in the family network.</t>
  </si>
  <si>
    <t>P176</t>
  </si>
  <si>
    <t>Near misses nobody reports</t>
  </si>
  <si>
    <t>For every serious factory accident there are many near misses that go unreported. Paper forms are a chore, and workers fear being blamed.</t>
  </si>
  <si>
    <t>Safety officers, supervisors and workers in factories and warehouses.</t>
  </si>
  <si>
    <t>Each ignored near miss is a warning that nobody acted on.</t>
  </si>
  <si>
    <t>Get near misses reported and acted on.</t>
  </si>
  <si>
    <t>Near-miss reports closed with an action per week.</t>
  </si>
  <si>
    <t>reporting by voice or photo in local languages, with an anonymous option; tracking actions to closure.</t>
  </si>
  <si>
    <t>Blame culture and low literacy on some shop floors.</t>
  </si>
  <si>
    <t>Pilot in one factory or warehouse for two weeks.</t>
  </si>
  <si>
    <t>P177</t>
  </si>
  <si>
    <t>"Please update our bank details"</t>
  </si>
  <si>
    <t>Fraudsters pose as a vendor over email and ask the finance team to change bank details. Small companies pay the fraudster and rarely get the money back.</t>
  </si>
  <si>
    <t>Finance teams at SMEs, and their vendors.</t>
  </si>
  <si>
    <t>Business email compromise causes heavy losses worldwide, and small firms have the weakest controls.</t>
  </si>
  <si>
    <t>Help small companies stop paying fraudsters.</t>
  </si>
  <si>
    <t>Share of simulated bank-change attempts caught before payment.</t>
  </si>
  <si>
    <t>a verification step for any change to vendor bank details; risk signals on incoming emails.</t>
  </si>
  <si>
    <t>Email access permissions, and false alarms that teams learn to ignore.</t>
  </si>
  <si>
    <t>Build the verification flow for one SME's finance team and test it with simulated attempts.</t>
  </si>
  <si>
    <t>Agents: Claude tool use and MCP, Playwright or Browserbase, Firecrawl</t>
  </si>
  <si>
    <t>P178</t>
  </si>
  <si>
    <t>The ex-employee who still has the password</t>
  </si>
  <si>
    <t>Small businesses share passwords over WhatsApp and spreadsheets. When someone leaves, nobody revokes their access to email, banking, social accounts or the accounting software.</t>
  </si>
  <si>
    <t>SME owners and office managers.</t>
  </si>
  <si>
    <t>Former staff and leaked passwords are a common route to data theft and fraud.</t>
  </si>
  <si>
    <t>Help small businesses control who can get into what.</t>
  </si>
  <si>
    <t>Hours between an employee leaving and all their access being removed.</t>
  </si>
  <si>
    <t>an access inventory; an offboarding checklist; shared password management.</t>
  </si>
  <si>
    <t>Owners have little time, and access is spread across many tools.</t>
  </si>
  <si>
    <t>Inventory and clean up access for three SMEs.</t>
  </si>
  <si>
    <t>P179</t>
  </si>
  <si>
    <t>Denied cyber insurance for missing two-factor login</t>
  </si>
  <si>
    <t>Small businesses applying for cyber insurance face questionnaires on two-factor login, backups and endpoint protection. Many get declined or pay high premiums, and they don't know what to fix first.</t>
  </si>
  <si>
    <t>SME owners, their IT providers and insurance brokers.</t>
  </si>
  <si>
    <t>Cyber insurers such as Coalition and At-Bay built large businesses by pairing cover with security checks. Ransomware keeps hitting small companies, and insurers keep tightening their requirements.</t>
  </si>
  <si>
    <t>Help small businesses meet insurers' security requirements quickly.</t>
  </si>
  <si>
    <t>Share of insurer requirements met within two weeks.</t>
  </si>
  <si>
    <t>a readiness scan mapped to insurer questions; step-by-step fixes; evidence packs for the broker.</t>
  </si>
  <si>
    <t>Access to company systems, honesty in applications, and varied tools.</t>
  </si>
  <si>
    <t>Run readiness checks for three real SMEs.</t>
  </si>
  <si>
    <t>Agents: Claude tool use and MCP, Playwright or Browserbase, Firecrawl; Docs: Claude (reads PDFs and photos), Google Document AI or AWS Textract</t>
  </si>
  <si>
    <t>P180</t>
  </si>
  <si>
    <t>Sourcing 40 components for a prototype</t>
  </si>
  <si>
    <t>Hardware startups in India source electronic components from distributors, marketplaces and Shenzhen suppliers. Prices and lead times vary, and finding a substitute for an out-of-stock part takes days.</t>
  </si>
  <si>
    <t>Hardware founders, engineers and contract manufacturers.</t>
  </si>
  <si>
    <t>Component delays push back launches, and component cost decides the margin.</t>
  </si>
  <si>
    <t>Help hardware teams source components faster and cheaper.</t>
  </si>
  <si>
    <t>Hours to fully quote a real bill of materials.</t>
  </si>
  <si>
    <t>BOM parsing with price comparison; substitute suggestions; lead-time tracking.</t>
  </si>
  <si>
    <t>Distributor APIs and part data quality.</t>
  </si>
  <si>
    <t>Source one real BOM from a startup in Bengaluru's hardware scene.</t>
  </si>
  <si>
    <t>P181</t>
  </si>
  <si>
    <t>Batch records filled in at the end of the shift</t>
  </si>
  <si>
    <t>Food, cosmetics and pharma manufacturers must keep batch records for quality and audits. Records are often written from memory at shift end, and gaps surface during audits or recalls.</t>
  </si>
  <si>
    <t>Quality managers and production staff at small manufacturers.</t>
  </si>
  <si>
    <t>A failed audit or recall can shut a small manufacturer down. Indian pharma compliance software such as Leucine has raised venture funding.</t>
  </si>
  <si>
    <t>Help small manufacturers keep accurate, audit-ready batch records.</t>
  </si>
  <si>
    <t>Minutes to trace a batch from raw material to customer in a mock recall.</t>
  </si>
  <si>
    <t>recording steps on the floor as they happen; alerts when a step deviates from the recipe; traceability across batches.</t>
  </si>
  <si>
    <t>GMP and FSSAI requirements, and shop-floor conditions.</t>
  </si>
  <si>
    <t>Digitise records for one product line at one manufacturer.</t>
  </si>
  <si>
    <t>Mobile: Progressive web app, Expo (React Native), MSG91 or Twilio SMS; Docs: Claude (reads PDFs and photos), Google Document AI or AWS Textract</t>
  </si>
  <si>
    <t>P182</t>
  </si>
  <si>
    <t>A BIS licence before you can sell</t>
  </si>
  <si>
    <t>India's Quality Control Orders now require BIS certification for many products, from toys and footwear to electrical goods. Small manufacturers and importers struggle to know whether they're covered and what to do.</t>
  </si>
  <si>
    <t>Small manufacturers, importers and D2C brands.</t>
  </si>
  <si>
    <t>Uncertified goods can't be sold or imported, and certification delays cost months.</t>
  </si>
  <si>
    <t>Help small businesses work out their certification obligations and get certified.</t>
  </si>
  <si>
    <t>Share of products whose certification obligations are identified correctly.</t>
  </si>
  <si>
    <t>mapping products to the orders that cover them; step-by-step certification plans with lab and timeline estimates.</t>
  </si>
  <si>
    <t>The orders change often, and the technical standards are complex.</t>
  </si>
  <si>
    <t>Map obligations for 20 real products.</t>
  </si>
  <si>
    <t>P183</t>
  </si>
  <si>
    <t>Wrong item in the box</t>
  </si>
  <si>
    <t>Small third-party warehouses serving D2C brands pick orders by hand. Wrong items, wrong sizes and missing pieces lead to returns and lost clients.</t>
  </si>
  <si>
    <t>3PL operators, warehouse staff and their brand clients.</t>
  </si>
  <si>
    <t>Accuracy is the main thing brands pay a 3PL for.</t>
  </si>
  <si>
    <t>Help small warehouses ship the right items every time.</t>
  </si>
  <si>
    <t>Picking errors per thousand orders.</t>
  </si>
  <si>
    <t>scan checks on a phone before packing; error analysis by picker, shift and SKU.</t>
  </si>
  <si>
    <t>Cost, training and constantly changing SKUs.</t>
  </si>
  <si>
    <t>Pilot in one small warehouse for a week.</t>
  </si>
  <si>
    <t>P184</t>
  </si>
  <si>
    <t>Buying steel on the wrong day</t>
  </si>
  <si>
    <t>Small manufacturers buy steel, plastic granules or copper at prices that move every week. Most buy when stock runs out, which is often the worst time.</t>
  </si>
  <si>
    <t>Owners and purchase managers at small manufacturers.</t>
  </si>
  <si>
    <t>Raw material is the largest cost for many of them.</t>
  </si>
  <si>
    <t>Help small manufacturers time and plan raw-material purchases.</t>
  </si>
  <si>
    <t>Average cost per tonne compared with the owner's past buying.</t>
  </si>
  <si>
    <t>price tracking from market sources; reorder planning around expected prices.</t>
  </si>
  <si>
    <t>Price data access, and this is not trading advice.</t>
  </si>
  <si>
    <t>Track one material for three manufacturers and recommend when to buy.</t>
  </si>
  <si>
    <t>P185</t>
  </si>
  <si>
    <t>Fakes of your product on every marketplace</t>
  </si>
  <si>
    <t>Brands that do well find counterfeit and lookalike versions on marketplaces and social commerce. Small brands don't have the people to find and remove them.</t>
  </si>
  <si>
    <t>Brand owners, D2C founders and marketplace brand-protection teams.</t>
  </si>
  <si>
    <t>Fakes take sales and damage the brand when buyers get a bad product.</t>
  </si>
  <si>
    <t>Help brands find and take down counterfeit listings.</t>
  </si>
  <si>
    <t>Successful takedowns per week on real listings.</t>
  </si>
  <si>
    <t>image and listing similarity search; patterns in seller behaviour; takedown workflows per platform.</t>
  </si>
  <si>
    <t>Platform terms, and false accusations against legitimate resellers.</t>
  </si>
  <si>
    <t>Monitor one brand's products for two weeks.</t>
  </si>
  <si>
    <t>Vision: Claude vision, Roboflow; Agents: Claude tool use and MCP, Playwright or Browserbase, Firecrawl</t>
  </si>
  <si>
    <t>P186</t>
  </si>
  <si>
    <t>The label that fails inspection</t>
  </si>
  <si>
    <t>Food and FMCG products must carry labels that meet FSSAI rules on ingredients, nutrition, allergens, logos and font sizes. Small brands get labels wrong and face rejections, recalls and fines.</t>
  </si>
  <si>
    <t>Founders and packaging designers at small food brands.</t>
  </si>
  <si>
    <t>A wrong label can block a product from shelves and marketplaces.</t>
  </si>
  <si>
    <t>Help small brands get labels right before printing.</t>
  </si>
  <si>
    <t>Share of label issues found that a regulatory consultant confirms.</t>
  </si>
  <si>
    <t>artwork review against the rules; nutrition panels generated from recipes.</t>
  </si>
  <si>
    <t>The rules are detailed, and artwork arrives in many formats.</t>
  </si>
  <si>
    <t>Review 20 real labels and compare with a regulatory consultant's review.</t>
  </si>
  <si>
    <t>P187</t>
  </si>
  <si>
    <t>The cloud bill nobody expected</t>
  </si>
  <si>
    <t>Startups using AWS, GCP and AI APIs get surprise bills from idle resources, misconfigured services and runaway API usage. Small teams have nobody watching costs.</t>
  </si>
  <si>
    <t>Startup founders and engineers.</t>
  </si>
  <si>
    <t>For many startups, cloud and AI spend is the biggest cost after salaries.</t>
  </si>
  <si>
    <t>Help startups keep cloud and AI costs under control.</t>
  </si>
  <si>
    <t>Monthly cloud spend saved in a real account.</t>
  </si>
  <si>
    <t>cost anomaly alerts; idle resource detection; AI spend budgets per feature.</t>
  </si>
  <si>
    <t>Account access must be read-only and secure, and there are many services to cover.</t>
  </si>
  <si>
    <t>Audit one startup's cloud account with read-only access and recommend savings.</t>
  </si>
  <si>
    <t>P188</t>
  </si>
  <si>
    <t>Crates that never come back</t>
  </si>
  <si>
    <t>Dairies, bakeries, beverage and produce companies ship goods in returnable crates and pallets. Many never come back from retailers and distributors, and the loss gets written off every year.</t>
  </si>
  <si>
    <t>Logistics heads at FMCG and food companies, and their distributors.</t>
  </si>
  <si>
    <t>It's a steady cost that nobody tracks.</t>
  </si>
  <si>
    <t>Help companies track and recover returnable packaging.</t>
  </si>
  <si>
    <t>Crate return rate per month.</t>
  </si>
  <si>
    <t>a crate ledger per customer; photo confirmation by drivers; deposit schemes.</t>
  </si>
  <si>
    <t>Drivers have to adopt it, and retailers have to cooperate.</t>
  </si>
  <si>
    <t>Track crates for one distributor for two weeks.</t>
  </si>
  <si>
    <t>Mobile: Progressive web app, Expo (React Native), MSG91 or Twilio SMS; Data: Google Sheets, Python + pandas in Colab, Metabase or Supabase dashboards</t>
  </si>
  <si>
    <t>P189</t>
  </si>
  <si>
    <t>DPDP compliance for a 20-person startup</t>
  </si>
  <si>
    <t>India's DPDP Rules were notified in November 2025, and most obligations on notices, consent, breach reporting and children's data apply from May 2027. Small startups don't know what personal data they hold or what they need to change.</t>
  </si>
  <si>
    <t>Founders and engineers at Indian startups and SMEs.</t>
  </si>
  <si>
    <t>Penalties under the Act can reach ₹250 crore, and enterprise customers are already asking vendors about compliance.</t>
  </si>
  <si>
    <t>Help small companies understand and meet their DPDP obligations.</t>
  </si>
  <si>
    <t>Share of personal-data flows mapped and covered by a valid notice.</t>
  </si>
  <si>
    <t>mapping personal data across apps and databases; generating notices and consent flows; a breach response plan.</t>
  </si>
  <si>
    <t>Guidance is still evolving, and this is not legal advice.</t>
  </si>
  <si>
    <t>Run a data inventory for one startup.</t>
  </si>
  <si>
    <t>P190</t>
  </si>
  <si>
    <t>Paying for leads that go nowhere</t>
  </si>
  <si>
    <t>SMEs pay for leads on B2B marketplaces like IndiaMART. Many are fake, irrelevant or already contacted by ten competitors, and sales staff waste hours calling them.</t>
  </si>
  <si>
    <t>SME owners and their sales staff.</t>
  </si>
  <si>
    <t>Lead subscriptions are expensive, and bad leads use up the sales team's day.</t>
  </si>
  <si>
    <t>Help SMEs get more out of B2B marketplace leads.</t>
  </si>
  <si>
    <t>Conversion rate of the leads the team calls.</t>
  </si>
  <si>
    <t>scoring leads from the enquiry text; an instant first reply; tracking which leads convert.</t>
  </si>
  <si>
    <t>Marketplace terms, and the fact that speed of reply matters most.</t>
  </si>
  <si>
    <t>Score and respond to one SME's leads for two weeks.</t>
  </si>
  <si>
    <t>P191</t>
  </si>
  <si>
    <t>Business data locked inside Tally</t>
  </si>
  <si>
    <t>Millions of Indian SMEs keep their accounts in Tally on one office computer. Owners can't see their numbers when they're away, and the data can't easily feed other tools.</t>
  </si>
  <si>
    <t>SME owners and their accountants.</t>
  </si>
  <si>
    <t>Decisions wait for the accountant, and every integration is a custom job.</t>
  </si>
  <si>
    <t>Help SMEs use their accounting data beyond the office desktop.</t>
  </si>
  <si>
    <t>Times per week the owner checks live numbers on their phone.</t>
  </si>
  <si>
    <t>secure sync from Tally to a cloud view; an owner summary on WhatsApp; connections to banks or e-commerce data.</t>
  </si>
  <si>
    <t>Tally's integration options, security, and old desktop setups.</t>
  </si>
  <si>
    <t>Sync one SME's Tally data and give the owner a working dashboard.</t>
  </si>
  <si>
    <t>P192</t>
  </si>
  <si>
    <t>Your brand doesn't come up when people ask ChatGPT</t>
  </si>
  <si>
    <t>J. Problems created by AI, AI agents and accessibility</t>
  </si>
  <si>
    <t>More shoppers now ask ChatGPT, Gemini or Perplexity what to buy before they search. Small brands have no idea whether they get mentioned, how they're described, or why a competitor gets recommended instead.</t>
  </si>
  <si>
    <t>D2C founders, marketers and SEO agencies.</t>
  </si>
  <si>
    <t>Product discovery is moving into AI answers, and the old search playbook doesn't explain how to show up there. Startups in this new category, such as Profound, raised large rounds in 2025.</t>
  </si>
  <si>
    <t>Help brands understand and improve how AI assistants represent them.</t>
  </si>
  <si>
    <t>Mention rate across a fixed set of buyer questions.</t>
  </si>
  <si>
    <t>tracking answers to buyer questions across several models; finding which sources the models cite; spotting content gaps.</t>
  </si>
  <si>
    <t>Model answers vary from run to run, and nobody has agreed how to measure this yet.</t>
  </si>
  <si>
    <t>Track 50 buyer questions for one brand across three assistants for two weeks.</t>
  </si>
  <si>
    <t>P193</t>
  </si>
  <si>
    <t>When the shopper is an AI agent</t>
  </si>
  <si>
    <t>AI agents can now buy on a user's behalf through protocols such as OpenAI's Agentic Commerce Protocol and Google's AP2. Most small merchants' catalogs, policies and checkouts can't be read or used by an agent.</t>
  </si>
  <si>
    <t>Small online merchants and the agencies that build their stores.</t>
  </si>
  <si>
    <t>Merchants that agents can't use will miss this channel while it's still forming.</t>
  </si>
  <si>
    <t>Help merchants become usable by AI shopping agents.</t>
  </si>
  <si>
    <t>Share of simulated agent shopping tasks completed correctly.</t>
  </si>
  <si>
    <t>restructuring catalogs and policies so agents can read them; readiness audits; test harnesses that act like agent shoppers.</t>
  </si>
  <si>
    <t>The protocols are new and still changing. Payments stay in test mode.</t>
  </si>
  <si>
    <t>Make one store agent-readable and complete a set of simulated agent purchases.</t>
  </si>
  <si>
    <t>Agents: Claude tool use and MCP, Playwright or Browserbase, Firecrawl; Payments: Razorpay or Stripe in test mode, Setu sandbox</t>
  </si>
  <si>
    <t>P194</t>
  </si>
  <si>
    <t>The person on the interview call isn't the candidate</t>
  </si>
  <si>
    <t>Remote hiring now sees impostors using deepfake video, voice changers or stand-ins during interviews. Recruiters struggle to check identity without treating honest candidates as suspects.</t>
  </si>
  <si>
    <t>Recruiters and hiring managers at companies that hire remotely.</t>
  </si>
  <si>
    <t>A fraudulent hire can get access to systems, data and payroll.</t>
  </si>
  <si>
    <t>Help employers confirm that candidates are who they say they are.</t>
  </si>
  <si>
    <t>Share of simulated impostors caught in tests.</t>
  </si>
  <si>
    <t>identity checks that carry across interview rounds; consistency signals between stages.</t>
  </si>
  <si>
    <t>Bias and false accusations are real risks, and privacy law applies. This is identity checking only. Ranking applicants is out of scope because Hackathon 1 covered it.</t>
  </si>
  <si>
    <t>Build a verification flow and test it against simulated impostor cases.</t>
  </si>
  <si>
    <t>P195</t>
  </si>
  <si>
    <t>Assignments ChatGPT finishes in a minute</t>
  </si>
  <si>
    <t>Teachers and professors can't tell whether students wrote their own work. Detection tools are unreliable, and many old assignments no longer measure learning.</t>
  </si>
  <si>
    <t>School teachers, college faculty and programme designers, Mesa's included.</t>
  </si>
  <si>
    <t>Grades lose meaning when the work can be generated on request.</t>
  </si>
  <si>
    <t>Help educators assess learning when every student has AI.</t>
  </si>
  <si>
    <t>Agreement between redesigned-assessment results and short oral checks.</t>
  </si>
  <si>
    <t>assessments that capture how the work was produced; short oral defences; assignment redesign with faculty.</t>
  </si>
  <si>
    <t>Teacher workload, fairness and student privacy.</t>
  </si>
  <si>
    <t>Redesign two real assignments with faculty and run them with a class.</t>
  </si>
  <si>
    <t>P196</t>
  </si>
  <si>
    <t>Testing a voice agent before customers do</t>
  </si>
  <si>
    <t>Companies launching AI voice and chat agents find the failures when customers hit them: wrong answers, broken flows, unsafe replies. Manual testing covers a handful of scenarios.</t>
  </si>
  <si>
    <t>Teams building customer-facing AI agents.</t>
  </si>
  <si>
    <t>One failure that spreads online can end an AI rollout.</t>
  </si>
  <si>
    <t>Help teams test AI agents thoroughly before and after launch.</t>
  </si>
  <si>
    <t>Real failures found per 100 simulated conversations.</t>
  </si>
  <si>
    <t>simulated callers with personas and goals; automatic scoring against expected outcomes; regression runs after every change.</t>
  </si>
  <si>
    <t>Simulated users may not behave like real ones, and automatic scoring can be wrong.</t>
  </si>
  <si>
    <t>Test one real or open-source agent with 200 simulated conversations and report what broke.</t>
  </si>
  <si>
    <t>Voice: Sarvam AI, Deepgram or Whisper, ElevenLabs, Vapi or Retell, Exotel or Twilio; Agents: Claude tool use and MCP, Playwright or Browserbase, Firecrawl</t>
  </si>
  <si>
    <t>P197</t>
  </si>
  <si>
    <t>Five-star reviews written by a model</t>
  </si>
  <si>
    <t>AI makes fake reviews cheap. Small businesses get hit by waves of fake negative reviews from competitors, and shoppers stop trusting ratings.</t>
  </si>
  <si>
    <t>Restaurants, clinics, online sellers, shoppers and review platforms.</t>
  </si>
  <si>
    <t>Ratings drive most choices for local businesses, so one fake wave can cut bookings.</t>
  </si>
  <si>
    <t>Help businesses and shoppers deal with fake reviews.</t>
  </si>
  <si>
    <t>Share of flagged reviews that platforms remove.</t>
  </si>
  <si>
    <t>authenticity analysis on review text and reviewer history; evidence packs for takedown requests.</t>
  </si>
  <si>
    <t>False positives hurt real reviewers, and platforms decide what comes down.</t>
  </si>
  <si>
    <t>Analyse reviews for ten businesses and file takedowns where the evidence holds up.</t>
  </si>
  <si>
    <t>P198</t>
  </si>
  <si>
    <t>The app built in a weekend that leaks its database</t>
  </si>
  <si>
    <t>Founders and non-engineers now ship apps built with AI coding tools. Many go live with exposed databases, leaked API keys and missing access rules, and the people who built them don't know how to check.</t>
  </si>
  <si>
    <t>Non-technical founders, indie developers and small agencies building with AI tools.</t>
  </si>
  <si>
    <t>AI app builders have grown extremely fast, and security researchers reported apps built this way leaking user data in 2025. App security scanning is a funded category, but it was designed for professional engineers.</t>
  </si>
  <si>
    <t>Help people who build with AI ship apps that don't leak data.</t>
  </si>
  <si>
    <t>Critical issues found and fixed per app scanned.</t>
  </si>
  <si>
    <t>scans for exposed keys and open database rules; fixes explained in plain language; checks that run before every deploy.</t>
  </si>
  <si>
    <t>Access to code and configuration, false positives, and many different stacks.</t>
  </si>
  <si>
    <t>Scan ten real AI-built apps, with permission, and fix the issues found.</t>
  </si>
  <si>
    <t>P199</t>
  </si>
  <si>
    <t>Customer support in Bahasa, Tagalog and Tamil</t>
  </si>
  <si>
    <t>Banks, telcos and online retailers in Southeast Asia and India serve customers in many local languages. Voice and chat bots work poorly outside English, so most calls still go to large human teams with long queues.</t>
  </si>
  <si>
    <t>Customer support leaders at banks, telcos and consumer companies, and their customers.</t>
  </si>
  <si>
    <t>Voice AI in local languages is one of the most active startup areas in Asia, with Indian companies such as Sarvam raising large rounds. In markets where each customer spends little, support cost decides the margin.</t>
  </si>
  <si>
    <t>Help companies resolve customer queries in local languages without long queues.</t>
  </si>
  <si>
    <t>Share of queries in one language resolved without a human.</t>
  </si>
  <si>
    <t>a voice or chat agent for one language and one high-volume query type; handoff to a human with the full context.</t>
  </si>
  <si>
    <t>Speech quality in local languages and code-mixing, banking compliance, and cost per call.</t>
  </si>
  <si>
    <t>Build an agent for one query type in one language and test it on 30 real or role-played calls.</t>
  </si>
  <si>
    <t>P200</t>
  </si>
  <si>
    <t>The EU AI Act for a 30-person company</t>
  </si>
  <si>
    <t>The EU AI Act's transparency obligations started on Aug 2, 2026, and the high-risk rules follow in December 2027. Small companies that use or build AI don't know which of their systems are covered or what they have to do.</t>
  </si>
  <si>
    <t>SMEs and startups selling into the EU, and their legal advisers.</t>
  </si>
  <si>
    <t>Fines are large, and enterprise buyers already ask suppliers for evidence.</t>
  </si>
  <si>
    <t>Help small companies understand and meet their AI Act obligations.</t>
  </si>
  <si>
    <t>Share of AI systems classified correctly, as checked by a lawyer.</t>
  </si>
  <si>
    <t>an AI system inventory with risk classification; generating the required notices and documentation.</t>
  </si>
  <si>
    <t>Official guidance is still coming out, and this is not legal advice.</t>
  </si>
  <si>
    <t>Classify AI use at three companies and check the result with a lawyer or consultant.</t>
  </si>
  <si>
    <t>P201</t>
  </si>
  <si>
    <t>Confidential data pasted into a chatbot</t>
  </si>
  <si>
    <t>Employees paste customer data, code and contracts into public AI tools. Companies either ban AI and lose the productivity, or allow it without knowing what leaves.</t>
  </si>
  <si>
    <t>IT and security leads at mid-size companies, and the employees using AI.</t>
  </si>
  <si>
    <t>One leak can create legal exposure and hand over trade secrets.</t>
  </si>
  <si>
    <t>Let employees use AI without leaking sensitive data.</t>
  </si>
  <si>
    <t>Share of sensitive data caught before it leaves the company.</t>
  </si>
  <si>
    <t>detection and redaction in the browser; routing staff to approved AI tools.</t>
  </si>
  <si>
    <t>Employee privacy and false positives that block legitimate work.</t>
  </si>
  <si>
    <t>Build a redaction browser extension and test it with ten users.</t>
  </si>
  <si>
    <t>P202</t>
  </si>
  <si>
    <t>A voice cloned without permission</t>
  </si>
  <si>
    <t>Voice actors and dubbing artists in India are hearing AI clones of their voices. They have no way to control or license their voice, and studios have no clean source of consented voices.</t>
  </si>
  <si>
    <t>Voice artists, dubbing studios and ad agencies.</t>
  </si>
  <si>
    <t>Indian dubbing employs many artists, and unlicensed cloning takes their work.</t>
  </si>
  <si>
    <t>Help voice artists control and license their voices.</t>
  </si>
  <si>
    <t>Licensed voice projects completed on terms the artist agreed to.</t>
  </si>
  <si>
    <t>a voice licensing marketplace; consent and usage records; checking whether a clip came from a cloned voice.</t>
  </si>
  <si>
    <t>The legal position is unsettled, and clone detection is unreliable.</t>
  </si>
  <si>
    <t>Onboard five voice artists and run one licensed project.</t>
  </si>
  <si>
    <t>Voice: Sarvam AI, Deepgram or Whisper, ElevenLabs, Vapi or Retell, Exotel or Twilio; Payments: Razorpay or Stripe in test mode, Setu sandbox</t>
  </si>
  <si>
    <t>P203</t>
  </si>
  <si>
    <t>Hidden instructions that hijack your AI agent</t>
  </si>
  <si>
    <t>AI agents that browse the web or chat with customers can be steered by instructions hidden in pages, documents or messages, known as prompt injection. A hijacked agent can leak data or take the wrong action.</t>
  </si>
  <si>
    <t>Companies building browsing agents, and banks, fintechs and insurers running customer-facing AI agents, along with their security and compliance teams.</t>
  </si>
  <si>
    <t>Agents can't be trusted with real tasks until this is handled, and in regulated industries a leak is also a compliance breach.</t>
  </si>
  <si>
    <t>Help teams detect and defend against prompt injection in browsing agents.</t>
  </si>
  <si>
    <t>Attack success rate on a fixed set of pages.</t>
  </si>
  <si>
    <t>a suite of injection test pages; a detection layer between page content and the agent; limits on what an agent may do after reading untrusted content.</t>
  </si>
  <si>
    <t>Attacks change quickly, and strong defences can make agents less useful.</t>
  </si>
  <si>
    <t>Build a harness of 50 attack pages and measure one agent's failure rate with and without a defence.</t>
  </si>
  <si>
    <t>P204</t>
  </si>
  <si>
    <t>An AI agent calling the restaurant</t>
  </si>
  <si>
    <t>AI assistants are starting to phone businesses to book tables, check stock or ask questions for their users. Small businesses don't know how to handle these calls, and some just hang up.</t>
  </si>
  <si>
    <t>Restaurants, salons and clinics, and the developers of AI assistants.</t>
  </si>
  <si>
    <t>This channel could bring in bookings or swamp the front desk.</t>
  </si>
  <si>
    <t>Help small businesses handle inbound AI agents well.</t>
  </si>
  <si>
    <t>Share of simulated agent calls that end in a correct booking.</t>
  </si>
  <si>
    <t>a booking interface built for agents; screening that tells agent calls from human ones.</t>
  </si>
  <si>
    <t>No standard exists yet, and spam calls are a risk.</t>
  </si>
  <si>
    <t>Build a booking endpoint for one business and test it with simulated agent calls.</t>
  </si>
  <si>
    <t>P205</t>
  </si>
  <si>
    <t>Indian apps a blind user can't use</t>
  </si>
  <si>
    <t>Many Indian apps for payments, food delivery and government services are hard or impossible to use with a screen reader. Blind and low-vision users depend on others for everyday tasks.</t>
  </si>
  <si>
    <t>Blind and low-vision users, and the teams that build these apps.</t>
  </si>
  <si>
    <t>India has a large visually impaired population, and more essential services are moving to apps.</t>
  </si>
  <si>
    <t>Help blind users complete everyday digital tasks on their own.</t>
  </si>
  <si>
    <t>Share of target tasks blind testers complete alone.</t>
  </si>
  <si>
    <t>accessibility audits that app teams can act on; an assistive layer for one common task.</t>
  </si>
  <si>
    <t>It has to be built with blind users, and students can't change other companies' apps.</t>
  </si>
  <si>
    <t>Test five apps with three blind users and build one fix or assistive tool.</t>
  </si>
  <si>
    <t>P206</t>
  </si>
  <si>
    <t>Captions for a lecture in Kannada and English</t>
  </si>
  <si>
    <t>Deaf and hard-of-hearing students struggle in lectures that mix English with Indian languages. Live captioning tools handle this mixing badly.</t>
  </si>
  <si>
    <t>Deaf and hard-of-hearing students, their colleges and teachers.</t>
  </si>
  <si>
    <t>Without access, these students fall behind or drop out.</t>
  </si>
  <si>
    <t>Give deaf and hard-of-hearing students access to what's said in class.</t>
  </si>
  <si>
    <t>Caption word accuracy on real lectures.</t>
  </si>
  <si>
    <t>live captioning tuned for code-mixed speech; course vocabulary lists; searchable lecture notes.</t>
  </si>
  <si>
    <t>Code-mixed speech recognition and noisy classroom audio.</t>
  </si>
  <si>
    <t>Caption five real lectures and measure accuracy with students.</t>
  </si>
  <si>
    <t>P207</t>
  </si>
  <si>
    <t>An online store the EU says is inaccessible</t>
  </si>
  <si>
    <t>The European Accessibility Act has applied since June 28, 2025, and covers many e-commerce sites and apps. Small online stores selling in the EU are often non-compliant and don't know where to start.</t>
  </si>
  <si>
    <t>Small e-commerce businesses selling in the EU, and the agencies that build their sites.</t>
  </si>
  <si>
    <t>Non-compliance risks fines, and inaccessible stores turn away customers.</t>
  </si>
  <si>
    <t>Help small stores become accessible and stay that way.</t>
  </si>
  <si>
    <t>Accessibility issues fixed per store, confirmed with a screen reader.</t>
  </si>
  <si>
    <t>automated audits with prioritised fixes; ready-made theme fixes; ongoing monitoring.</t>
  </si>
  <si>
    <t>Automated checks catch only some issues, and microenterprises have exemptions.</t>
  </si>
  <si>
    <t>Audit and fix five real stores. Indian stores that sell to Europe count.</t>
  </si>
  <si>
    <t>P208</t>
  </si>
  <si>
    <t>The forms that pile up when you have ADHD</t>
  </si>
  <si>
    <t>Adults with ADHD often miss bill payments, renewals, tax deadlines and forms. Standard to-do apps don't work for them.</t>
  </si>
  <si>
    <t>Adults with ADHD or similar executive-function difficulties.</t>
  </si>
  <si>
    <t>Missed deadlines bring fines, stress and damaged credit.</t>
  </si>
  <si>
    <t>Help adults with ADHD get admin tasks done on time.</t>
  </si>
  <si>
    <t>Missed admin deadlines per user per month.</t>
  </si>
  <si>
    <t>body-doubling sessions; tasks broken into very small steps; deadlines pulled automatically from email.</t>
  </si>
  <si>
    <t>It touches health, so avoid diagnosis claims and shaming.</t>
  </si>
  <si>
    <t>Run with ten users for two weeks.</t>
  </si>
  <si>
    <t>Docs: Claude (reads PDFs and photos), Google Document AI or AWS Textract; Mobile: Progressive web app, Expo (React Native), MSG91 or Twilio SMS</t>
  </si>
  <si>
    <t>P209</t>
  </si>
  <si>
    <t>A deepfake of your founder selling a scam</t>
  </si>
  <si>
    <t>Scam ads using AI-generated videos of founders, celebrities and finance influencers promote fake investment schemes on social media. Brands and public figures find them late, and takedown requests are slow and manual.</t>
  </si>
  <si>
    <t>Brands, founders, public figures and their agencies, and the people who get scammed.</t>
  </si>
  <si>
    <t>Deepfake scam ads became a serious problem in India in 2024 and 2025, and Indian courts have granted personality-rights orders to several public figures. Brand protection is already a paid service.</t>
  </si>
  <si>
    <t>Help brands and public figures find and remove impersonation ads fast.</t>
  </si>
  <si>
    <t>Hours from a deepfake ad going live to its removal.</t>
  </si>
  <si>
    <t>monitoring public ad libraries and platforms; evidence packs for takedown requests; alerts to the brand's own audience.</t>
  </si>
  <si>
    <t>Platform API limits, detection accuracy and legal process.</t>
  </si>
  <si>
    <t>Monitor one brand or public figure for two weeks and file takedowns.</t>
  </si>
  <si>
    <t>P210</t>
  </si>
  <si>
    <t>AI crawlers read your site and send no visitors</t>
  </si>
  <si>
    <t>AI companies' crawlers read publishers' and businesses' websites to train models and answer questions, and those answers send far fewer visitors back than search did. Most site owners don't know which bots visit, what they take, or how to charge for it.</t>
  </si>
  <si>
    <t>Publishers, content sites, documentation teams and online stores.</t>
  </si>
  <si>
    <t>Cloudflare launched pay-per-crawl in July 2025 so sites can charge AI crawlers, and large publishers are signing licensing deals with AI companies. Small and mid-size sites need the same leverage.</t>
  </si>
  <si>
    <t>Help site owners see and control how AI crawlers use their content.</t>
  </si>
  <si>
    <t>Share of AI crawler traffic identified and covered by a chosen policy.</t>
  </si>
  <si>
    <t>crawler analytics from server logs; policies for each bot; licensing or payment setups.</t>
  </si>
  <si>
    <t>Crawlers that ignore the rules, false identification, and hosting differences.</t>
  </si>
  <si>
    <t>Analyse a month of server logs for three real sites and set policies.</t>
  </si>
  <si>
    <t>P211</t>
  </si>
  <si>
    <t>Is this video real?</t>
  </si>
  <si>
    <t>Newsrooms and fact-checkers receive photos and videos from conflicts, protests and disasters. AI-generated and edited media make checking slower and harder.</t>
  </si>
  <si>
    <t>Journalists, fact-checkers and newsroom editors.</t>
  </si>
  <si>
    <t>Publishing one fake can damage a newsroom's credibility for years.</t>
  </si>
  <si>
    <t>Help newsrooms verify user-submitted media quickly.</t>
  </si>
  <si>
    <t>Minutes to verify one media item.</t>
  </si>
  <si>
    <t>provenance checks using C2PA credentials; reverse search and metadata analysis in one workflow.</t>
  </si>
  <si>
    <t>Detection has limits, and newsrooms work under time pressure.</t>
  </si>
  <si>
    <t>Verify 30 media items with a fact-checking team.</t>
  </si>
  <si>
    <t>P212</t>
  </si>
  <si>
    <t>Ordering by voice when you can't read the screen</t>
  </si>
  <si>
    <t>Many Indians with low literacy struggle with text-heavy apps for booking gas cylinders, ordering groceries or paying bills. They ask others for help or skip digital services entirely.</t>
  </si>
  <si>
    <t>Low-literacy users and the businesses that serve them.</t>
  </si>
  <si>
    <t>A very large number of people could use digital services if the interface suited them.</t>
  </si>
  <si>
    <t>Let low-literacy users complete transactions by voice in their own language.</t>
  </si>
  <si>
    <t>Share of voice orders completed without an error.</t>
  </si>
  <si>
    <t>voice-first ordering over WhatsApp; spoken confirmation before payment; support for local dialects.</t>
  </si>
  <si>
    <t>Speech recognition for dialects, and mistakes that involve money.</t>
  </si>
  <si>
    <t>Test with 15 users ordering from one business.</t>
  </si>
  <si>
    <t>Tech stack and tools</t>
  </si>
  <si>
    <t>Every problem can be built with the core stack plus one or two tool kits. Most tools have a free tier or student credits. Check with your POC before paying for anything.</t>
  </si>
  <si>
    <t>Core stack for everyone</t>
  </si>
  <si>
    <t>Need</t>
  </si>
  <si>
    <t>Use</t>
  </si>
  <si>
    <t>What it does</t>
  </si>
  <si>
    <t>Build the app</t>
  </si>
  <si>
    <t>Claude Code, Lovable, Bolt or Replit</t>
  </si>
  <si>
    <t>Writes and edits working code from plain-English instructions</t>
  </si>
  <si>
    <t>Database and login</t>
  </si>
  <si>
    <t>Supabase</t>
  </si>
  <si>
    <t>Hosted database, user accounts and file storage</t>
  </si>
  <si>
    <t>Hosting</t>
  </si>
  <si>
    <t>Vercel or Netlify</t>
  </si>
  <si>
    <t>Puts your app on a live link in one click, which Gate 2 needs</t>
  </si>
  <si>
    <t>AI model</t>
  </si>
  <si>
    <t>Claude API</t>
  </si>
  <si>
    <t>Reasoning, writing, reading documents and images, and agents</t>
  </si>
  <si>
    <t>Automations</t>
  </si>
  <si>
    <t>n8n, Make or Zapier</t>
  </si>
  <si>
    <t>Connects apps and runs workflows without integration code</t>
  </si>
  <si>
    <t>User research</t>
  </si>
  <si>
    <t>Tally or Google Forms, Google Meet, Otter</t>
  </si>
  <si>
    <t>Surveys, interviews and notes for Gate 1</t>
  </si>
  <si>
    <t>Analytics</t>
  </si>
  <si>
    <t>PostHog</t>
  </si>
  <si>
    <t>Tracks your north star metric from the first user</t>
  </si>
  <si>
    <t>Tool kits</t>
  </si>
  <si>
    <t>Kit</t>
  </si>
  <si>
    <t>Use it when</t>
  </si>
  <si>
    <t>Tools</t>
  </si>
  <si>
    <t>WhatsApp</t>
  </si>
  <si>
    <t>Your users live on WhatsApp</t>
  </si>
  <si>
    <t>WhatsApp Cloud API (test number), Interakt or Gupshup, n8n</t>
  </si>
  <si>
    <t>Voice</t>
  </si>
  <si>
    <t>Calls, voice notes or Indian languages</t>
  </si>
  <si>
    <t>Sarvam AI, Deepgram or Whisper, ElevenLabs, Vapi or Retell, Exotel or Twilio</t>
  </si>
  <si>
    <t>Docs</t>
  </si>
  <si>
    <t>Invoices, bills, contracts, forms or filings</t>
  </si>
  <si>
    <t>Claude (reads PDFs and photos), Google Document AI or AWS Textract</t>
  </si>
  <si>
    <t>Vision</t>
  </si>
  <si>
    <t>Photos of products, parts, sites or people</t>
  </si>
  <si>
    <t>Claude vision, Roboflow</t>
  </si>
  <si>
    <t>Data</t>
  </si>
  <si>
    <t>Sales exports, ledgers, prices or forecasts</t>
  </si>
  <si>
    <t>Google Sheets, Python + pandas in Colab, Metabase or Supabase dashboards</t>
  </si>
  <si>
    <t>Agents</t>
  </si>
  <si>
    <t>Tasks that span websites, inboxes or tools</t>
  </si>
  <si>
    <t>Claude tool use and MCP, Playwright or Browserbase, Firecrawl</t>
  </si>
  <si>
    <t>Maps</t>
  </si>
  <si>
    <t>Routes, addresses, sites or travel</t>
  </si>
  <si>
    <t>Google Maps Platform, Mapbox, Ola Maps, OpenStreetMap</t>
  </si>
  <si>
    <t>Payments</t>
  </si>
  <si>
    <t>Billing, credit or money movement</t>
  </si>
  <si>
    <t>Razorpay or Stripe in test mode, Setu sandbox</t>
  </si>
  <si>
    <t>Mobile</t>
  </si>
  <si>
    <t>Low-end phones or patchy networks</t>
  </si>
  <si>
    <t>Progressive web app, Expo (React Native), MSG91 or Twilio SMS</t>
  </si>
  <si>
    <t>Rules for tools</t>
  </si>
  <si>
    <t>Keep API keys in your platform's environment settings. Never paste them into code, chat or a shared doc.</t>
  </si>
  <si>
    <t>Payments run in test mode and WhatsApp runs on test numbers.</t>
  </si>
  <si>
    <t>Scrape only public pages and respect each site's terms.</t>
  </si>
  <si>
    <t>Your build log should say which tools you used and why.</t>
  </si>
  <si>
    <t>Problems by cluster and tag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</si>
</sst>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theme="1"/>
      <name val="Arial"/>
    </font>
    <font>
      <sz val="10.0"/>
      <color rgb="FF555555"/>
      <name val="Arial"/>
    </font>
    <font>
      <b/>
      <sz val="12.0"/>
      <color theme="1"/>
      <name val="Arial"/>
    </font>
    <font>
      <b/>
      <sz val="10.0"/>
      <color rgb="FFFFFFFF"/>
      <name val="Arial"/>
    </font>
    <font>
      <sz val="10.0"/>
      <color theme="1"/>
      <name val="Arial"/>
    </font>
    <font>
      <b/>
      <sz val="10.0"/>
      <color theme="1"/>
      <name val="Arial"/>
    </font>
    <font>
      <color theme="1"/>
      <name val="Calibri"/>
      <scheme val="minor"/>
    </font>
  </fonts>
  <fills count="7">
    <fill>
      <patternFill patternType="none"/>
    </fill>
    <fill>
      <patternFill patternType="lightGray"/>
    </fill>
    <fill>
      <patternFill patternType="solid">
        <fgColor rgb="FF111827"/>
        <bgColor rgb="FF111827"/>
      </patternFill>
    </fill>
    <fill>
      <patternFill patternType="solid">
        <fgColor rgb="FF2F80ED"/>
        <bgColor rgb="FF2F80ED"/>
      </patternFill>
    </fill>
    <fill>
      <patternFill patternType="solid">
        <fgColor rgb="FF8E44AD"/>
        <bgColor rgb="FF8E44AD"/>
      </patternFill>
    </fill>
    <fill>
      <patternFill patternType="solid">
        <fgColor rgb="FFE67E22"/>
        <bgColor rgb="FFE67E22"/>
      </patternFill>
    </fill>
    <fill>
      <patternFill patternType="solid">
        <fgColor rgb="FFC0392B"/>
        <bgColor rgb="FFC0392B"/>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center" wrapText="1"/>
    </xf>
    <xf borderId="1" fillId="3" fontId="4" numFmtId="0" xfId="0" applyAlignment="1" applyBorder="1" applyFill="1" applyFont="1">
      <alignment shrinkToFit="0" vertical="top" wrapText="1"/>
    </xf>
    <xf borderId="1" fillId="0" fontId="5" numFmtId="0" xfId="0" applyAlignment="1" applyBorder="1" applyFont="1">
      <alignment horizontal="center" shrinkToFit="0" vertical="top" wrapText="0"/>
    </xf>
    <xf borderId="1" fillId="0" fontId="5" numFmtId="0" xfId="0" applyAlignment="1" applyBorder="1" applyFont="1">
      <alignment shrinkToFit="0" vertical="top" wrapText="1"/>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1" fillId="0" fontId="6" numFmtId="0" xfId="0" applyAlignment="1" applyBorder="1" applyFont="1">
      <alignment shrinkToFit="0" vertical="top" wrapText="1"/>
    </xf>
    <xf borderId="0" fillId="0" fontId="5" numFmtId="0" xfId="0" applyAlignment="1" applyFont="1">
      <alignment shrinkToFit="0" vertical="bottom" wrapText="0"/>
    </xf>
    <xf borderId="0" fillId="0" fontId="7" numFmtId="0" xfId="0" applyAlignment="1" applyFont="1">
      <alignment horizontal="center"/>
    </xf>
    <xf borderId="1" fillId="2" fontId="4" numFmtId="0" xfId="0" applyAlignment="1" applyBorder="1" applyFill="1" applyFont="1">
      <alignment horizontal="center" shrinkToFit="0" vertical="center" wrapText="1"/>
    </xf>
    <xf borderId="1" fillId="0" fontId="5" numFmtId="0" xfId="0" applyAlignment="1" applyBorder="1" applyFont="1">
      <alignment horizontal="center" shrinkToFit="0" vertical="bottom" wrapText="0"/>
    </xf>
    <xf borderId="1" fillId="0" fontId="6" numFmtId="0" xfId="0" applyAlignment="1" applyBorder="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14.0"/>
    <col customWidth="1" min="3" max="3" width="89.71"/>
    <col customWidth="1" min="4" max="4" width="43.71"/>
    <col customWidth="1" min="5" max="26" width="8.71"/>
  </cols>
  <sheetData>
    <row r="1">
      <c r="A1" s="1" t="s">
        <v>0</v>
      </c>
    </row>
    <row r="2">
      <c r="A2" s="2"/>
    </row>
    <row r="4">
      <c r="A4" s="3" t="s">
        <v>1</v>
      </c>
    </row>
    <row r="5">
      <c r="A5" s="4" t="s">
        <v>2</v>
      </c>
      <c r="B5" s="4" t="s">
        <v>3</v>
      </c>
      <c r="C5" s="4" t="s">
        <v>4</v>
      </c>
      <c r="D5" s="4" t="s">
        <v>5</v>
      </c>
    </row>
    <row r="6">
      <c r="A6" s="5" t="s">
        <v>6</v>
      </c>
      <c r="B6" s="6">
        <f>COUNTIF(Problems!$C:$C,A6)</f>
        <v>53</v>
      </c>
      <c r="C6" s="7" t="s">
        <v>7</v>
      </c>
      <c r="D6" s="7" t="s">
        <v>8</v>
      </c>
    </row>
    <row r="7">
      <c r="A7" s="8" t="s">
        <v>9</v>
      </c>
      <c r="B7" s="6">
        <f>COUNTIF(Problems!$C:$C,A7)</f>
        <v>98</v>
      </c>
      <c r="C7" s="7" t="s">
        <v>10</v>
      </c>
      <c r="D7" s="7" t="s">
        <v>11</v>
      </c>
    </row>
    <row r="8">
      <c r="A8" s="9" t="s">
        <v>12</v>
      </c>
      <c r="B8" s="6">
        <f>COUNTIF(Problems!$C:$C,A8)</f>
        <v>50</v>
      </c>
      <c r="C8" s="7" t="s">
        <v>13</v>
      </c>
      <c r="D8" s="7" t="s">
        <v>14</v>
      </c>
    </row>
    <row r="9">
      <c r="A9" s="10" t="s">
        <v>15</v>
      </c>
      <c r="B9" s="6">
        <f>COUNTIF(Problems!$C:$C,A9)</f>
        <v>11</v>
      </c>
      <c r="C9" s="7" t="s">
        <v>16</v>
      </c>
      <c r="D9" s="7" t="s">
        <v>17</v>
      </c>
    </row>
    <row r="10">
      <c r="A10" s="11" t="s">
        <v>18</v>
      </c>
      <c r="B10" s="6">
        <f>SUM(B6:B9)</f>
        <v>212</v>
      </c>
      <c r="C10" s="7" t="s">
        <v>19</v>
      </c>
      <c r="D10" s="7"/>
    </row>
    <row r="12">
      <c r="A12" s="3" t="s">
        <v>20</v>
      </c>
    </row>
    <row r="13">
      <c r="A13" s="4" t="s">
        <v>21</v>
      </c>
      <c r="B13" s="4"/>
      <c r="C13" s="4" t="s">
        <v>22</v>
      </c>
      <c r="D13" s="4"/>
    </row>
    <row r="14" ht="15.75" customHeight="1">
      <c r="A14" s="11" t="s">
        <v>23</v>
      </c>
      <c r="B14" s="7"/>
      <c r="C14" s="7" t="s">
        <v>24</v>
      </c>
      <c r="D14" s="7"/>
    </row>
    <row r="15" ht="15.75" customHeight="1">
      <c r="A15" s="11" t="s">
        <v>25</v>
      </c>
      <c r="B15" s="7"/>
      <c r="C15" s="7" t="s">
        <v>26</v>
      </c>
      <c r="D15" s="7"/>
    </row>
    <row r="16" ht="15.75" customHeight="1">
      <c r="A16" s="11" t="s">
        <v>27</v>
      </c>
      <c r="B16" s="7"/>
      <c r="C16" s="7" t="s">
        <v>28</v>
      </c>
      <c r="D16" s="7"/>
    </row>
    <row r="17" ht="15.75" customHeight="1">
      <c r="A17" s="11" t="s">
        <v>29</v>
      </c>
      <c r="B17" s="7"/>
      <c r="C17" s="7" t="s">
        <v>30</v>
      </c>
      <c r="D17" s="7"/>
    </row>
    <row r="18" ht="15.75" customHeight="1">
      <c r="A18" s="11" t="s">
        <v>31</v>
      </c>
      <c r="B18" s="7"/>
      <c r="C18" s="7" t="s">
        <v>32</v>
      </c>
      <c r="D18" s="7"/>
    </row>
    <row r="19" ht="15.75" customHeight="1"/>
    <row r="20" ht="15.75" customHeight="1">
      <c r="A20" s="3" t="s">
        <v>33</v>
      </c>
    </row>
    <row r="21" ht="15.75" customHeight="1">
      <c r="A21" s="12" t="s">
        <v>34</v>
      </c>
    </row>
    <row r="22" ht="15.75" customHeight="1">
      <c r="A22" s="12" t="s">
        <v>35</v>
      </c>
    </row>
    <row r="23" ht="15.75" customHeight="1">
      <c r="A23" s="12" t="s">
        <v>36</v>
      </c>
    </row>
    <row r="24" ht="15.75" customHeight="1">
      <c r="A24" s="12" t="s">
        <v>37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36.0"/>
    <col customWidth="1" min="3" max="3" width="14.0"/>
    <col customWidth="1" min="4" max="4" width="30.0"/>
    <col customWidth="1" min="5" max="5" width="15.0"/>
    <col customWidth="1" min="6" max="6" width="60.0"/>
    <col customWidth="1" min="7" max="7" width="40.0"/>
    <col customWidth="1" min="8" max="8" width="60.0"/>
    <col customWidth="1" min="9" max="10" width="40.0"/>
    <col customWidth="1" min="11" max="11" width="50.0"/>
    <col customWidth="1" min="12" max="12" width="45.0"/>
    <col customWidth="1" min="13" max="13" width="50.0"/>
    <col customWidth="1" min="14" max="14" width="60.0"/>
    <col customWidth="1" min="15" max="26" width="8.71"/>
  </cols>
  <sheetData>
    <row r="1" ht="30.0" customHeight="1">
      <c r="A1" s="4" t="s">
        <v>38</v>
      </c>
      <c r="B1" s="4" t="s">
        <v>39</v>
      </c>
      <c r="C1" s="4" t="s">
        <v>2</v>
      </c>
      <c r="D1" s="4" t="s">
        <v>40</v>
      </c>
      <c r="E1" s="4" t="s">
        <v>41</v>
      </c>
      <c r="F1" s="4" t="s">
        <v>42</v>
      </c>
      <c r="G1" s="4" t="s">
        <v>43</v>
      </c>
      <c r="H1" s="4" t="s">
        <v>44</v>
      </c>
      <c r="I1" s="4" t="s">
        <v>45</v>
      </c>
      <c r="J1" s="4" t="s">
        <v>46</v>
      </c>
      <c r="K1" s="4" t="s">
        <v>47</v>
      </c>
      <c r="L1" s="4" t="s">
        <v>48</v>
      </c>
      <c r="M1" s="4" t="s">
        <v>49</v>
      </c>
      <c r="N1" s="4" t="s">
        <v>50</v>
      </c>
    </row>
    <row r="2">
      <c r="A2" s="11" t="s">
        <v>51</v>
      </c>
      <c r="B2" s="11" t="s">
        <v>52</v>
      </c>
      <c r="C2" s="8" t="s">
        <v>9</v>
      </c>
      <c r="D2" s="7" t="s">
        <v>53</v>
      </c>
      <c r="E2" s="7" t="s">
        <v>54</v>
      </c>
      <c r="F2" s="7" t="s">
        <v>55</v>
      </c>
      <c r="G2" s="7" t="s">
        <v>56</v>
      </c>
      <c r="H2" s="7" t="s">
        <v>57</v>
      </c>
      <c r="I2" s="7" t="s">
        <v>58</v>
      </c>
      <c r="J2" s="7" t="s">
        <v>59</v>
      </c>
      <c r="K2" s="7" t="s">
        <v>60</v>
      </c>
      <c r="L2" s="7" t="s">
        <v>61</v>
      </c>
      <c r="M2" s="7" t="s">
        <v>62</v>
      </c>
      <c r="N2" s="7" t="s">
        <v>63</v>
      </c>
    </row>
    <row r="3">
      <c r="A3" s="11" t="s">
        <v>64</v>
      </c>
      <c r="B3" s="11" t="s">
        <v>65</v>
      </c>
      <c r="C3" s="8" t="s">
        <v>9</v>
      </c>
      <c r="D3" s="7" t="s">
        <v>53</v>
      </c>
      <c r="E3" s="7" t="s">
        <v>54</v>
      </c>
      <c r="F3" s="7" t="s">
        <v>66</v>
      </c>
      <c r="G3" s="7" t="s">
        <v>67</v>
      </c>
      <c r="H3" s="7" t="s">
        <v>68</v>
      </c>
      <c r="I3" s="7" t="s">
        <v>69</v>
      </c>
      <c r="J3" s="7" t="s">
        <v>70</v>
      </c>
      <c r="K3" s="7" t="s">
        <v>71</v>
      </c>
      <c r="L3" s="7" t="s">
        <v>72</v>
      </c>
      <c r="M3" s="7" t="s">
        <v>73</v>
      </c>
      <c r="N3" s="7" t="s">
        <v>74</v>
      </c>
    </row>
    <row r="4">
      <c r="A4" s="11" t="s">
        <v>75</v>
      </c>
      <c r="B4" s="11" t="s">
        <v>76</v>
      </c>
      <c r="C4" s="8" t="s">
        <v>9</v>
      </c>
      <c r="D4" s="7" t="s">
        <v>53</v>
      </c>
      <c r="E4" s="7" t="s">
        <v>54</v>
      </c>
      <c r="F4" s="7" t="s">
        <v>77</v>
      </c>
      <c r="G4" s="7" t="s">
        <v>78</v>
      </c>
      <c r="H4" s="7" t="s">
        <v>79</v>
      </c>
      <c r="I4" s="7" t="s">
        <v>80</v>
      </c>
      <c r="J4" s="7" t="s">
        <v>81</v>
      </c>
      <c r="K4" s="7" t="s">
        <v>82</v>
      </c>
      <c r="L4" s="7" t="s">
        <v>83</v>
      </c>
      <c r="M4" s="7" t="s">
        <v>84</v>
      </c>
      <c r="N4" s="7" t="s">
        <v>85</v>
      </c>
    </row>
    <row r="5">
      <c r="A5" s="11" t="s">
        <v>86</v>
      </c>
      <c r="B5" s="11" t="s">
        <v>87</v>
      </c>
      <c r="C5" s="5" t="s">
        <v>6</v>
      </c>
      <c r="D5" s="7" t="s">
        <v>53</v>
      </c>
      <c r="E5" s="7" t="s">
        <v>88</v>
      </c>
      <c r="F5" s="7" t="s">
        <v>89</v>
      </c>
      <c r="G5" s="7" t="s">
        <v>90</v>
      </c>
      <c r="H5" s="7" t="s">
        <v>91</v>
      </c>
      <c r="I5" s="7" t="s">
        <v>92</v>
      </c>
      <c r="J5" s="7" t="s">
        <v>93</v>
      </c>
      <c r="K5" s="7" t="s">
        <v>94</v>
      </c>
      <c r="L5" s="7" t="s">
        <v>95</v>
      </c>
      <c r="M5" s="7" t="s">
        <v>96</v>
      </c>
      <c r="N5" s="7" t="s">
        <v>85</v>
      </c>
    </row>
    <row r="6">
      <c r="A6" s="11" t="s">
        <v>97</v>
      </c>
      <c r="B6" s="11" t="s">
        <v>98</v>
      </c>
      <c r="C6" s="8" t="s">
        <v>9</v>
      </c>
      <c r="D6" s="7" t="s">
        <v>53</v>
      </c>
      <c r="E6" s="7" t="s">
        <v>54</v>
      </c>
      <c r="F6" s="7" t="s">
        <v>99</v>
      </c>
      <c r="G6" s="7" t="s">
        <v>100</v>
      </c>
      <c r="H6" s="7" t="s">
        <v>101</v>
      </c>
      <c r="I6" s="7" t="s">
        <v>102</v>
      </c>
      <c r="J6" s="7" t="s">
        <v>103</v>
      </c>
      <c r="K6" s="7" t="s">
        <v>104</v>
      </c>
      <c r="L6" s="7" t="s">
        <v>105</v>
      </c>
      <c r="M6" s="7" t="s">
        <v>106</v>
      </c>
      <c r="N6" s="7" t="s">
        <v>85</v>
      </c>
    </row>
    <row r="7">
      <c r="A7" s="11" t="s">
        <v>107</v>
      </c>
      <c r="B7" s="11" t="s">
        <v>108</v>
      </c>
      <c r="C7" s="9" t="s">
        <v>12</v>
      </c>
      <c r="D7" s="7" t="s">
        <v>53</v>
      </c>
      <c r="E7" s="7" t="s">
        <v>54</v>
      </c>
      <c r="F7" s="7" t="s">
        <v>109</v>
      </c>
      <c r="G7" s="7" t="s">
        <v>110</v>
      </c>
      <c r="H7" s="7" t="s">
        <v>111</v>
      </c>
      <c r="I7" s="7" t="s">
        <v>112</v>
      </c>
      <c r="J7" s="7" t="s">
        <v>113</v>
      </c>
      <c r="K7" s="7" t="s">
        <v>114</v>
      </c>
      <c r="L7" s="7" t="s">
        <v>115</v>
      </c>
      <c r="M7" s="7" t="s">
        <v>116</v>
      </c>
      <c r="N7" s="7" t="s">
        <v>117</v>
      </c>
    </row>
    <row r="8">
      <c r="A8" s="11" t="s">
        <v>118</v>
      </c>
      <c r="B8" s="11" t="s">
        <v>119</v>
      </c>
      <c r="C8" s="8" t="s">
        <v>9</v>
      </c>
      <c r="D8" s="7" t="s">
        <v>53</v>
      </c>
      <c r="E8" s="7" t="s">
        <v>54</v>
      </c>
      <c r="F8" s="7" t="s">
        <v>120</v>
      </c>
      <c r="G8" s="7" t="s">
        <v>121</v>
      </c>
      <c r="H8" s="7" t="s">
        <v>122</v>
      </c>
      <c r="I8" s="7" t="s">
        <v>123</v>
      </c>
      <c r="J8" s="7" t="s">
        <v>124</v>
      </c>
      <c r="K8" s="7" t="s">
        <v>125</v>
      </c>
      <c r="L8" s="7" t="s">
        <v>126</v>
      </c>
      <c r="M8" s="7" t="s">
        <v>127</v>
      </c>
      <c r="N8" s="7" t="s">
        <v>74</v>
      </c>
    </row>
    <row r="9">
      <c r="A9" s="11" t="s">
        <v>128</v>
      </c>
      <c r="B9" s="11" t="s">
        <v>129</v>
      </c>
      <c r="C9" s="9" t="s">
        <v>12</v>
      </c>
      <c r="D9" s="7" t="s">
        <v>53</v>
      </c>
      <c r="E9" s="7" t="s">
        <v>54</v>
      </c>
      <c r="F9" s="7" t="s">
        <v>130</v>
      </c>
      <c r="G9" s="7" t="s">
        <v>131</v>
      </c>
      <c r="H9" s="7" t="s">
        <v>132</v>
      </c>
      <c r="I9" s="7" t="s">
        <v>133</v>
      </c>
      <c r="J9" s="7" t="s">
        <v>134</v>
      </c>
      <c r="K9" s="7" t="s">
        <v>135</v>
      </c>
      <c r="L9" s="7" t="s">
        <v>136</v>
      </c>
      <c r="M9" s="7" t="s">
        <v>137</v>
      </c>
      <c r="N9" s="7" t="s">
        <v>138</v>
      </c>
    </row>
    <row r="10">
      <c r="A10" s="11" t="s">
        <v>139</v>
      </c>
      <c r="B10" s="11" t="s">
        <v>140</v>
      </c>
      <c r="C10" s="5" t="s">
        <v>6</v>
      </c>
      <c r="D10" s="7" t="s">
        <v>53</v>
      </c>
      <c r="E10" s="7" t="s">
        <v>141</v>
      </c>
      <c r="F10" s="7" t="s">
        <v>142</v>
      </c>
      <c r="G10" s="7" t="s">
        <v>143</v>
      </c>
      <c r="H10" s="7" t="s">
        <v>144</v>
      </c>
      <c r="I10" s="7" t="s">
        <v>145</v>
      </c>
      <c r="J10" s="7" t="s">
        <v>146</v>
      </c>
      <c r="K10" s="7" t="s">
        <v>147</v>
      </c>
      <c r="L10" s="7" t="s">
        <v>148</v>
      </c>
      <c r="M10" s="7" t="s">
        <v>149</v>
      </c>
      <c r="N10" s="7" t="s">
        <v>150</v>
      </c>
    </row>
    <row r="11">
      <c r="A11" s="11" t="s">
        <v>151</v>
      </c>
      <c r="B11" s="11" t="s">
        <v>152</v>
      </c>
      <c r="C11" s="5" t="s">
        <v>6</v>
      </c>
      <c r="D11" s="7" t="s">
        <v>53</v>
      </c>
      <c r="E11" s="7" t="s">
        <v>141</v>
      </c>
      <c r="F11" s="7" t="s">
        <v>153</v>
      </c>
      <c r="G11" s="7" t="s">
        <v>154</v>
      </c>
      <c r="H11" s="7" t="s">
        <v>155</v>
      </c>
      <c r="I11" s="7" t="s">
        <v>156</v>
      </c>
      <c r="J11" s="7" t="s">
        <v>157</v>
      </c>
      <c r="K11" s="7" t="s">
        <v>158</v>
      </c>
      <c r="L11" s="7" t="s">
        <v>159</v>
      </c>
      <c r="M11" s="7" t="s">
        <v>160</v>
      </c>
      <c r="N11" s="7" t="s">
        <v>161</v>
      </c>
    </row>
    <row r="12">
      <c r="A12" s="11" t="s">
        <v>162</v>
      </c>
      <c r="B12" s="11" t="s">
        <v>163</v>
      </c>
      <c r="C12" s="9" t="s">
        <v>12</v>
      </c>
      <c r="D12" s="7" t="s">
        <v>53</v>
      </c>
      <c r="E12" s="7" t="s">
        <v>54</v>
      </c>
      <c r="F12" s="7" t="s">
        <v>164</v>
      </c>
      <c r="G12" s="7" t="s">
        <v>165</v>
      </c>
      <c r="H12" s="7" t="s">
        <v>166</v>
      </c>
      <c r="I12" s="7" t="s">
        <v>167</v>
      </c>
      <c r="J12" s="7" t="s">
        <v>168</v>
      </c>
      <c r="K12" s="7" t="s">
        <v>169</v>
      </c>
      <c r="L12" s="7" t="s">
        <v>170</v>
      </c>
      <c r="M12" s="7" t="s">
        <v>171</v>
      </c>
      <c r="N12" s="7" t="s">
        <v>172</v>
      </c>
    </row>
    <row r="13">
      <c r="A13" s="11" t="s">
        <v>173</v>
      </c>
      <c r="B13" s="11" t="s">
        <v>174</v>
      </c>
      <c r="C13" s="9" t="s">
        <v>12</v>
      </c>
      <c r="D13" s="7" t="s">
        <v>53</v>
      </c>
      <c r="E13" s="7" t="s">
        <v>175</v>
      </c>
      <c r="F13" s="7" t="s">
        <v>176</v>
      </c>
      <c r="G13" s="7" t="s">
        <v>177</v>
      </c>
      <c r="H13" s="7" t="s">
        <v>178</v>
      </c>
      <c r="I13" s="7" t="s">
        <v>179</v>
      </c>
      <c r="J13" s="7" t="s">
        <v>180</v>
      </c>
      <c r="K13" s="7" t="s">
        <v>181</v>
      </c>
      <c r="L13" s="7" t="s">
        <v>182</v>
      </c>
      <c r="M13" s="7" t="s">
        <v>183</v>
      </c>
      <c r="N13" s="7" t="s">
        <v>184</v>
      </c>
    </row>
    <row r="14">
      <c r="A14" s="11" t="s">
        <v>185</v>
      </c>
      <c r="B14" s="11" t="s">
        <v>186</v>
      </c>
      <c r="C14" s="8" t="s">
        <v>9</v>
      </c>
      <c r="D14" s="7" t="s">
        <v>53</v>
      </c>
      <c r="E14" s="7" t="s">
        <v>54</v>
      </c>
      <c r="F14" s="7" t="s">
        <v>187</v>
      </c>
      <c r="G14" s="7" t="s">
        <v>188</v>
      </c>
      <c r="H14" s="7" t="s">
        <v>189</v>
      </c>
      <c r="I14" s="7" t="s">
        <v>190</v>
      </c>
      <c r="J14" s="7" t="s">
        <v>191</v>
      </c>
      <c r="K14" s="7" t="s">
        <v>192</v>
      </c>
      <c r="L14" s="7" t="s">
        <v>193</v>
      </c>
      <c r="M14" s="7" t="s">
        <v>194</v>
      </c>
      <c r="N14" s="7" t="s">
        <v>195</v>
      </c>
    </row>
    <row r="15">
      <c r="A15" s="11" t="s">
        <v>196</v>
      </c>
      <c r="B15" s="11" t="s">
        <v>197</v>
      </c>
      <c r="C15" s="8" t="s">
        <v>9</v>
      </c>
      <c r="D15" s="7" t="s">
        <v>53</v>
      </c>
      <c r="E15" s="7" t="s">
        <v>54</v>
      </c>
      <c r="F15" s="7" t="s">
        <v>198</v>
      </c>
      <c r="G15" s="7" t="s">
        <v>199</v>
      </c>
      <c r="H15" s="7" t="s">
        <v>200</v>
      </c>
      <c r="I15" s="7" t="s">
        <v>201</v>
      </c>
      <c r="J15" s="7" t="s">
        <v>202</v>
      </c>
      <c r="K15" s="7" t="s">
        <v>203</v>
      </c>
      <c r="L15" s="7" t="s">
        <v>204</v>
      </c>
      <c r="M15" s="7" t="s">
        <v>205</v>
      </c>
      <c r="N15" s="7" t="s">
        <v>74</v>
      </c>
    </row>
    <row r="16">
      <c r="A16" s="11" t="s">
        <v>206</v>
      </c>
      <c r="B16" s="11" t="s">
        <v>207</v>
      </c>
      <c r="C16" s="5" t="s">
        <v>6</v>
      </c>
      <c r="D16" s="7" t="s">
        <v>53</v>
      </c>
      <c r="E16" s="7" t="s">
        <v>54</v>
      </c>
      <c r="F16" s="7" t="s">
        <v>208</v>
      </c>
      <c r="G16" s="7" t="s">
        <v>209</v>
      </c>
      <c r="H16" s="7" t="s">
        <v>210</v>
      </c>
      <c r="I16" s="7" t="s">
        <v>211</v>
      </c>
      <c r="J16" s="7" t="s">
        <v>212</v>
      </c>
      <c r="K16" s="7" t="s">
        <v>213</v>
      </c>
      <c r="L16" s="7" t="s">
        <v>214</v>
      </c>
      <c r="M16" s="7" t="s">
        <v>215</v>
      </c>
      <c r="N16" s="7" t="s">
        <v>184</v>
      </c>
    </row>
    <row r="17">
      <c r="A17" s="11" t="s">
        <v>216</v>
      </c>
      <c r="B17" s="11" t="s">
        <v>217</v>
      </c>
      <c r="C17" s="9" t="s">
        <v>12</v>
      </c>
      <c r="D17" s="7" t="s">
        <v>53</v>
      </c>
      <c r="E17" s="7" t="s">
        <v>54</v>
      </c>
      <c r="F17" s="7" t="s">
        <v>218</v>
      </c>
      <c r="G17" s="7" t="s">
        <v>219</v>
      </c>
      <c r="H17" s="7" t="s">
        <v>220</v>
      </c>
      <c r="I17" s="7" t="s">
        <v>221</v>
      </c>
      <c r="J17" s="7" t="s">
        <v>222</v>
      </c>
      <c r="K17" s="7" t="s">
        <v>223</v>
      </c>
      <c r="L17" s="7" t="s">
        <v>224</v>
      </c>
      <c r="M17" s="7" t="s">
        <v>225</v>
      </c>
      <c r="N17" s="7" t="s">
        <v>161</v>
      </c>
    </row>
    <row r="18">
      <c r="A18" s="11" t="s">
        <v>226</v>
      </c>
      <c r="B18" s="11" t="s">
        <v>227</v>
      </c>
      <c r="C18" s="5" t="s">
        <v>6</v>
      </c>
      <c r="D18" s="7" t="s">
        <v>53</v>
      </c>
      <c r="E18" s="7" t="s">
        <v>54</v>
      </c>
      <c r="F18" s="7" t="s">
        <v>228</v>
      </c>
      <c r="G18" s="7" t="s">
        <v>229</v>
      </c>
      <c r="H18" s="7" t="s">
        <v>230</v>
      </c>
      <c r="I18" s="7" t="s">
        <v>231</v>
      </c>
      <c r="J18" s="7" t="s">
        <v>232</v>
      </c>
      <c r="K18" s="7" t="s">
        <v>233</v>
      </c>
      <c r="L18" s="7" t="s">
        <v>234</v>
      </c>
      <c r="M18" s="7" t="s">
        <v>235</v>
      </c>
      <c r="N18" s="7" t="s">
        <v>236</v>
      </c>
    </row>
    <row r="19">
      <c r="A19" s="11" t="s">
        <v>237</v>
      </c>
      <c r="B19" s="11" t="s">
        <v>238</v>
      </c>
      <c r="C19" s="5" t="s">
        <v>6</v>
      </c>
      <c r="D19" s="7" t="s">
        <v>53</v>
      </c>
      <c r="E19" s="7" t="s">
        <v>88</v>
      </c>
      <c r="F19" s="7" t="s">
        <v>239</v>
      </c>
      <c r="G19" s="7" t="s">
        <v>240</v>
      </c>
      <c r="H19" s="7" t="s">
        <v>241</v>
      </c>
      <c r="I19" s="7" t="s">
        <v>242</v>
      </c>
      <c r="J19" s="7" t="s">
        <v>243</v>
      </c>
      <c r="K19" s="7" t="s">
        <v>244</v>
      </c>
      <c r="L19" s="7" t="s">
        <v>245</v>
      </c>
      <c r="M19" s="7" t="s">
        <v>246</v>
      </c>
      <c r="N19" s="7" t="s">
        <v>247</v>
      </c>
    </row>
    <row r="20">
      <c r="A20" s="11" t="s">
        <v>248</v>
      </c>
      <c r="B20" s="11" t="s">
        <v>249</v>
      </c>
      <c r="C20" s="9" t="s">
        <v>12</v>
      </c>
      <c r="D20" s="7" t="s">
        <v>53</v>
      </c>
      <c r="E20" s="7" t="s">
        <v>54</v>
      </c>
      <c r="F20" s="7" t="s">
        <v>250</v>
      </c>
      <c r="G20" s="7" t="s">
        <v>251</v>
      </c>
      <c r="H20" s="7" t="s">
        <v>252</v>
      </c>
      <c r="I20" s="7" t="s">
        <v>253</v>
      </c>
      <c r="J20" s="7" t="s">
        <v>254</v>
      </c>
      <c r="K20" s="7" t="s">
        <v>255</v>
      </c>
      <c r="L20" s="7" t="s">
        <v>256</v>
      </c>
      <c r="M20" s="7" t="s">
        <v>257</v>
      </c>
      <c r="N20" s="7" t="s">
        <v>258</v>
      </c>
    </row>
    <row r="21" ht="15.75" customHeight="1">
      <c r="A21" s="11" t="s">
        <v>259</v>
      </c>
      <c r="B21" s="11" t="s">
        <v>260</v>
      </c>
      <c r="C21" s="9" t="s">
        <v>12</v>
      </c>
      <c r="D21" s="7" t="s">
        <v>53</v>
      </c>
      <c r="E21" s="7" t="s">
        <v>261</v>
      </c>
      <c r="F21" s="7" t="s">
        <v>262</v>
      </c>
      <c r="G21" s="7" t="s">
        <v>263</v>
      </c>
      <c r="H21" s="7" t="s">
        <v>264</v>
      </c>
      <c r="I21" s="7" t="s">
        <v>265</v>
      </c>
      <c r="J21" s="7" t="s">
        <v>266</v>
      </c>
      <c r="K21" s="7" t="s">
        <v>267</v>
      </c>
      <c r="L21" s="7" t="s">
        <v>268</v>
      </c>
      <c r="M21" s="7" t="s">
        <v>269</v>
      </c>
      <c r="N21" s="7" t="s">
        <v>270</v>
      </c>
    </row>
    <row r="22" ht="15.75" customHeight="1">
      <c r="A22" s="11" t="s">
        <v>271</v>
      </c>
      <c r="B22" s="11" t="s">
        <v>272</v>
      </c>
      <c r="C22" s="5" t="s">
        <v>6</v>
      </c>
      <c r="D22" s="7" t="s">
        <v>53</v>
      </c>
      <c r="E22" s="7" t="s">
        <v>54</v>
      </c>
      <c r="F22" s="7" t="s">
        <v>273</v>
      </c>
      <c r="G22" s="7" t="s">
        <v>274</v>
      </c>
      <c r="H22" s="7" t="s">
        <v>275</v>
      </c>
      <c r="I22" s="7" t="s">
        <v>276</v>
      </c>
      <c r="J22" s="7" t="s">
        <v>277</v>
      </c>
      <c r="K22" s="7" t="s">
        <v>278</v>
      </c>
      <c r="L22" s="7" t="s">
        <v>279</v>
      </c>
      <c r="M22" s="7" t="s">
        <v>280</v>
      </c>
      <c r="N22" s="7" t="s">
        <v>281</v>
      </c>
    </row>
    <row r="23" ht="15.75" customHeight="1">
      <c r="A23" s="11" t="s">
        <v>282</v>
      </c>
      <c r="B23" s="11" t="s">
        <v>283</v>
      </c>
      <c r="C23" s="10" t="s">
        <v>15</v>
      </c>
      <c r="D23" s="7" t="s">
        <v>284</v>
      </c>
      <c r="E23" s="7" t="s">
        <v>54</v>
      </c>
      <c r="F23" s="7" t="s">
        <v>285</v>
      </c>
      <c r="G23" s="7" t="s">
        <v>286</v>
      </c>
      <c r="H23" s="7" t="s">
        <v>287</v>
      </c>
      <c r="I23" s="7" t="s">
        <v>288</v>
      </c>
      <c r="J23" s="7" t="s">
        <v>289</v>
      </c>
      <c r="K23" s="7" t="s">
        <v>290</v>
      </c>
      <c r="L23" s="7" t="s">
        <v>291</v>
      </c>
      <c r="M23" s="7" t="s">
        <v>292</v>
      </c>
      <c r="N23" s="7" t="s">
        <v>247</v>
      </c>
    </row>
    <row r="24" ht="15.75" customHeight="1">
      <c r="A24" s="11" t="s">
        <v>293</v>
      </c>
      <c r="B24" s="11" t="s">
        <v>294</v>
      </c>
      <c r="C24" s="8" t="s">
        <v>9</v>
      </c>
      <c r="D24" s="7" t="s">
        <v>284</v>
      </c>
      <c r="E24" s="7" t="s">
        <v>54</v>
      </c>
      <c r="F24" s="7" t="s">
        <v>295</v>
      </c>
      <c r="G24" s="7" t="s">
        <v>296</v>
      </c>
      <c r="H24" s="7" t="s">
        <v>297</v>
      </c>
      <c r="I24" s="7" t="s">
        <v>298</v>
      </c>
      <c r="J24" s="7" t="s">
        <v>299</v>
      </c>
      <c r="K24" s="7" t="s">
        <v>300</v>
      </c>
      <c r="L24" s="7" t="s">
        <v>301</v>
      </c>
      <c r="M24" s="7" t="s">
        <v>302</v>
      </c>
      <c r="N24" s="7" t="s">
        <v>63</v>
      </c>
    </row>
    <row r="25" ht="15.75" customHeight="1">
      <c r="A25" s="11" t="s">
        <v>303</v>
      </c>
      <c r="B25" s="11" t="s">
        <v>304</v>
      </c>
      <c r="C25" s="8" t="s">
        <v>9</v>
      </c>
      <c r="D25" s="7" t="s">
        <v>284</v>
      </c>
      <c r="E25" s="7" t="s">
        <v>305</v>
      </c>
      <c r="F25" s="7" t="s">
        <v>306</v>
      </c>
      <c r="G25" s="7" t="s">
        <v>307</v>
      </c>
      <c r="H25" s="7" t="s">
        <v>308</v>
      </c>
      <c r="I25" s="7" t="s">
        <v>309</v>
      </c>
      <c r="J25" s="7" t="s">
        <v>310</v>
      </c>
      <c r="K25" s="7" t="s">
        <v>311</v>
      </c>
      <c r="L25" s="7" t="s">
        <v>312</v>
      </c>
      <c r="M25" s="7" t="s">
        <v>313</v>
      </c>
      <c r="N25" s="7" t="s">
        <v>314</v>
      </c>
    </row>
    <row r="26" ht="15.75" customHeight="1">
      <c r="A26" s="11" t="s">
        <v>315</v>
      </c>
      <c r="B26" s="11" t="s">
        <v>316</v>
      </c>
      <c r="C26" s="10" t="s">
        <v>15</v>
      </c>
      <c r="D26" s="7" t="s">
        <v>284</v>
      </c>
      <c r="E26" s="7" t="s">
        <v>261</v>
      </c>
      <c r="F26" s="7" t="s">
        <v>317</v>
      </c>
      <c r="G26" s="7" t="s">
        <v>318</v>
      </c>
      <c r="H26" s="7" t="s">
        <v>319</v>
      </c>
      <c r="I26" s="7" t="s">
        <v>320</v>
      </c>
      <c r="J26" s="7" t="s">
        <v>321</v>
      </c>
      <c r="K26" s="7" t="s">
        <v>322</v>
      </c>
      <c r="L26" s="7" t="s">
        <v>323</v>
      </c>
      <c r="M26" s="7" t="s">
        <v>324</v>
      </c>
      <c r="N26" s="7" t="s">
        <v>270</v>
      </c>
    </row>
    <row r="27" ht="15.75" customHeight="1">
      <c r="A27" s="11" t="s">
        <v>325</v>
      </c>
      <c r="B27" s="11" t="s">
        <v>326</v>
      </c>
      <c r="C27" s="9" t="s">
        <v>12</v>
      </c>
      <c r="D27" s="7" t="s">
        <v>284</v>
      </c>
      <c r="E27" s="7" t="s">
        <v>88</v>
      </c>
      <c r="F27" s="7" t="s">
        <v>327</v>
      </c>
      <c r="G27" s="7" t="s">
        <v>328</v>
      </c>
      <c r="H27" s="7" t="s">
        <v>329</v>
      </c>
      <c r="I27" s="7" t="s">
        <v>330</v>
      </c>
      <c r="J27" s="7" t="s">
        <v>331</v>
      </c>
      <c r="K27" s="7" t="s">
        <v>332</v>
      </c>
      <c r="L27" s="7" t="s">
        <v>333</v>
      </c>
      <c r="M27" s="7" t="s">
        <v>334</v>
      </c>
      <c r="N27" s="7" t="s">
        <v>335</v>
      </c>
    </row>
    <row r="28" ht="15.75" customHeight="1">
      <c r="A28" s="11" t="s">
        <v>336</v>
      </c>
      <c r="B28" s="11" t="s">
        <v>337</v>
      </c>
      <c r="C28" s="8" t="s">
        <v>9</v>
      </c>
      <c r="D28" s="7" t="s">
        <v>284</v>
      </c>
      <c r="E28" s="7" t="s">
        <v>54</v>
      </c>
      <c r="F28" s="7" t="s">
        <v>338</v>
      </c>
      <c r="G28" s="7" t="s">
        <v>339</v>
      </c>
      <c r="H28" s="7" t="s">
        <v>340</v>
      </c>
      <c r="I28" s="7" t="s">
        <v>341</v>
      </c>
      <c r="J28" s="7" t="s">
        <v>342</v>
      </c>
      <c r="K28" s="7" t="s">
        <v>343</v>
      </c>
      <c r="L28" s="7" t="s">
        <v>344</v>
      </c>
      <c r="M28" s="7" t="s">
        <v>345</v>
      </c>
      <c r="N28" s="7" t="s">
        <v>85</v>
      </c>
    </row>
    <row r="29" ht="15.75" customHeight="1">
      <c r="A29" s="11" t="s">
        <v>346</v>
      </c>
      <c r="B29" s="11" t="s">
        <v>347</v>
      </c>
      <c r="C29" s="9" t="s">
        <v>12</v>
      </c>
      <c r="D29" s="7" t="s">
        <v>284</v>
      </c>
      <c r="E29" s="7" t="s">
        <v>175</v>
      </c>
      <c r="F29" s="7" t="s">
        <v>348</v>
      </c>
      <c r="G29" s="7" t="s">
        <v>349</v>
      </c>
      <c r="H29" s="7" t="s">
        <v>350</v>
      </c>
      <c r="I29" s="7" t="s">
        <v>351</v>
      </c>
      <c r="J29" s="7" t="s">
        <v>352</v>
      </c>
      <c r="K29" s="7" t="s">
        <v>353</v>
      </c>
      <c r="L29" s="7" t="s">
        <v>354</v>
      </c>
      <c r="M29" s="7" t="s">
        <v>355</v>
      </c>
      <c r="N29" s="7" t="s">
        <v>247</v>
      </c>
    </row>
    <row r="30" ht="15.75" customHeight="1">
      <c r="A30" s="11" t="s">
        <v>356</v>
      </c>
      <c r="B30" s="11" t="s">
        <v>357</v>
      </c>
      <c r="C30" s="5" t="s">
        <v>6</v>
      </c>
      <c r="D30" s="7" t="s">
        <v>284</v>
      </c>
      <c r="E30" s="7" t="s">
        <v>358</v>
      </c>
      <c r="F30" s="7" t="s">
        <v>359</v>
      </c>
      <c r="G30" s="7" t="s">
        <v>360</v>
      </c>
      <c r="H30" s="7" t="s">
        <v>361</v>
      </c>
      <c r="I30" s="7" t="s">
        <v>362</v>
      </c>
      <c r="J30" s="7" t="s">
        <v>363</v>
      </c>
      <c r="K30" s="7" t="s">
        <v>364</v>
      </c>
      <c r="L30" s="7" t="s">
        <v>365</v>
      </c>
      <c r="M30" s="7" t="s">
        <v>366</v>
      </c>
      <c r="N30" s="7" t="s">
        <v>247</v>
      </c>
    </row>
    <row r="31" ht="15.75" customHeight="1">
      <c r="A31" s="11" t="s">
        <v>367</v>
      </c>
      <c r="B31" s="11" t="s">
        <v>368</v>
      </c>
      <c r="C31" s="8" t="s">
        <v>9</v>
      </c>
      <c r="D31" s="7" t="s">
        <v>284</v>
      </c>
      <c r="E31" s="7" t="s">
        <v>305</v>
      </c>
      <c r="F31" s="7" t="s">
        <v>369</v>
      </c>
      <c r="G31" s="7" t="s">
        <v>370</v>
      </c>
      <c r="H31" s="7" t="s">
        <v>371</v>
      </c>
      <c r="I31" s="7" t="s">
        <v>372</v>
      </c>
      <c r="J31" s="7" t="s">
        <v>373</v>
      </c>
      <c r="K31" s="7" t="s">
        <v>374</v>
      </c>
      <c r="L31" s="7" t="s">
        <v>375</v>
      </c>
      <c r="M31" s="7" t="s">
        <v>376</v>
      </c>
      <c r="N31" s="7" t="s">
        <v>85</v>
      </c>
    </row>
    <row r="32" ht="15.75" customHeight="1">
      <c r="A32" s="11" t="s">
        <v>377</v>
      </c>
      <c r="B32" s="11" t="s">
        <v>378</v>
      </c>
      <c r="C32" s="8" t="s">
        <v>9</v>
      </c>
      <c r="D32" s="7" t="s">
        <v>284</v>
      </c>
      <c r="E32" s="7" t="s">
        <v>54</v>
      </c>
      <c r="F32" s="7" t="s">
        <v>379</v>
      </c>
      <c r="G32" s="7" t="s">
        <v>380</v>
      </c>
      <c r="H32" s="7" t="s">
        <v>381</v>
      </c>
      <c r="I32" s="7" t="s">
        <v>382</v>
      </c>
      <c r="J32" s="7" t="s">
        <v>383</v>
      </c>
      <c r="K32" s="7" t="s">
        <v>384</v>
      </c>
      <c r="L32" s="7" t="s">
        <v>385</v>
      </c>
      <c r="M32" s="7" t="s">
        <v>386</v>
      </c>
      <c r="N32" s="7" t="s">
        <v>63</v>
      </c>
    </row>
    <row r="33" ht="15.75" customHeight="1">
      <c r="A33" s="11" t="s">
        <v>387</v>
      </c>
      <c r="B33" s="11" t="s">
        <v>388</v>
      </c>
      <c r="C33" s="5" t="s">
        <v>6</v>
      </c>
      <c r="D33" s="7" t="s">
        <v>284</v>
      </c>
      <c r="E33" s="7" t="s">
        <v>54</v>
      </c>
      <c r="F33" s="7" t="s">
        <v>389</v>
      </c>
      <c r="G33" s="7" t="s">
        <v>390</v>
      </c>
      <c r="H33" s="7" t="s">
        <v>391</v>
      </c>
      <c r="I33" s="7" t="s">
        <v>392</v>
      </c>
      <c r="J33" s="7" t="s">
        <v>393</v>
      </c>
      <c r="K33" s="7" t="s">
        <v>394</v>
      </c>
      <c r="L33" s="7" t="s">
        <v>395</v>
      </c>
      <c r="M33" s="7" t="s">
        <v>396</v>
      </c>
      <c r="N33" s="7" t="s">
        <v>195</v>
      </c>
    </row>
    <row r="34" ht="15.75" customHeight="1">
      <c r="A34" s="11" t="s">
        <v>397</v>
      </c>
      <c r="B34" s="11" t="s">
        <v>398</v>
      </c>
      <c r="C34" s="9" t="s">
        <v>12</v>
      </c>
      <c r="D34" s="7" t="s">
        <v>284</v>
      </c>
      <c r="E34" s="7" t="s">
        <v>261</v>
      </c>
      <c r="F34" s="7" t="s">
        <v>399</v>
      </c>
      <c r="G34" s="7" t="s">
        <v>400</v>
      </c>
      <c r="H34" s="7" t="s">
        <v>401</v>
      </c>
      <c r="I34" s="7" t="s">
        <v>402</v>
      </c>
      <c r="J34" s="7" t="s">
        <v>403</v>
      </c>
      <c r="K34" s="7" t="s">
        <v>404</v>
      </c>
      <c r="L34" s="7" t="s">
        <v>405</v>
      </c>
      <c r="M34" s="7" t="s">
        <v>406</v>
      </c>
      <c r="N34" s="7" t="s">
        <v>74</v>
      </c>
    </row>
    <row r="35" ht="15.75" customHeight="1">
      <c r="A35" s="11" t="s">
        <v>407</v>
      </c>
      <c r="B35" s="11" t="s">
        <v>408</v>
      </c>
      <c r="C35" s="8" t="s">
        <v>9</v>
      </c>
      <c r="D35" s="7" t="s">
        <v>284</v>
      </c>
      <c r="E35" s="7" t="s">
        <v>175</v>
      </c>
      <c r="F35" s="7" t="s">
        <v>409</v>
      </c>
      <c r="G35" s="7" t="s">
        <v>410</v>
      </c>
      <c r="H35" s="7" t="s">
        <v>411</v>
      </c>
      <c r="I35" s="7" t="s">
        <v>412</v>
      </c>
      <c r="J35" s="7" t="s">
        <v>413</v>
      </c>
      <c r="K35" s="7" t="s">
        <v>414</v>
      </c>
      <c r="L35" s="7" t="s">
        <v>415</v>
      </c>
      <c r="M35" s="7" t="s">
        <v>416</v>
      </c>
      <c r="N35" s="7" t="s">
        <v>417</v>
      </c>
    </row>
    <row r="36" ht="15.75" customHeight="1">
      <c r="A36" s="11" t="s">
        <v>418</v>
      </c>
      <c r="B36" s="11" t="s">
        <v>419</v>
      </c>
      <c r="C36" s="5" t="s">
        <v>6</v>
      </c>
      <c r="D36" s="7" t="s">
        <v>284</v>
      </c>
      <c r="E36" s="7" t="s">
        <v>141</v>
      </c>
      <c r="F36" s="7" t="s">
        <v>420</v>
      </c>
      <c r="G36" s="7" t="s">
        <v>421</v>
      </c>
      <c r="H36" s="7" t="s">
        <v>422</v>
      </c>
      <c r="I36" s="7" t="s">
        <v>423</v>
      </c>
      <c r="J36" s="7" t="s">
        <v>424</v>
      </c>
      <c r="K36" s="7" t="s">
        <v>425</v>
      </c>
      <c r="L36" s="7" t="s">
        <v>426</v>
      </c>
      <c r="M36" s="7" t="s">
        <v>427</v>
      </c>
      <c r="N36" s="7" t="s">
        <v>85</v>
      </c>
    </row>
    <row r="37" ht="15.75" customHeight="1">
      <c r="A37" s="11" t="s">
        <v>428</v>
      </c>
      <c r="B37" s="11" t="s">
        <v>429</v>
      </c>
      <c r="C37" s="5" t="s">
        <v>6</v>
      </c>
      <c r="D37" s="7" t="s">
        <v>284</v>
      </c>
      <c r="E37" s="7" t="s">
        <v>261</v>
      </c>
      <c r="F37" s="7" t="s">
        <v>430</v>
      </c>
      <c r="G37" s="7" t="s">
        <v>431</v>
      </c>
      <c r="H37" s="7" t="s">
        <v>432</v>
      </c>
      <c r="I37" s="7" t="s">
        <v>433</v>
      </c>
      <c r="J37" s="7" t="s">
        <v>434</v>
      </c>
      <c r="K37" s="7" t="s">
        <v>435</v>
      </c>
      <c r="L37" s="7" t="s">
        <v>436</v>
      </c>
      <c r="M37" s="7" t="s">
        <v>437</v>
      </c>
      <c r="N37" s="7" t="s">
        <v>247</v>
      </c>
    </row>
    <row r="38" ht="15.75" customHeight="1">
      <c r="A38" s="11" t="s">
        <v>438</v>
      </c>
      <c r="B38" s="11" t="s">
        <v>439</v>
      </c>
      <c r="C38" s="5" t="s">
        <v>6</v>
      </c>
      <c r="D38" s="7" t="s">
        <v>284</v>
      </c>
      <c r="E38" s="7" t="s">
        <v>54</v>
      </c>
      <c r="F38" s="7" t="s">
        <v>440</v>
      </c>
      <c r="G38" s="7" t="s">
        <v>441</v>
      </c>
      <c r="H38" s="7" t="s">
        <v>442</v>
      </c>
      <c r="I38" s="7" t="s">
        <v>443</v>
      </c>
      <c r="J38" s="7" t="s">
        <v>444</v>
      </c>
      <c r="K38" s="7" t="s">
        <v>445</v>
      </c>
      <c r="L38" s="7" t="s">
        <v>446</v>
      </c>
      <c r="M38" s="7" t="s">
        <v>447</v>
      </c>
      <c r="N38" s="7" t="s">
        <v>448</v>
      </c>
    </row>
    <row r="39" ht="15.75" customHeight="1">
      <c r="A39" s="11" t="s">
        <v>449</v>
      </c>
      <c r="B39" s="11" t="s">
        <v>450</v>
      </c>
      <c r="C39" s="8" t="s">
        <v>9</v>
      </c>
      <c r="D39" s="7" t="s">
        <v>284</v>
      </c>
      <c r="E39" s="7" t="s">
        <v>54</v>
      </c>
      <c r="F39" s="7" t="s">
        <v>451</v>
      </c>
      <c r="G39" s="7" t="s">
        <v>452</v>
      </c>
      <c r="H39" s="7" t="s">
        <v>453</v>
      </c>
      <c r="I39" s="7" t="s">
        <v>454</v>
      </c>
      <c r="J39" s="7" t="s">
        <v>455</v>
      </c>
      <c r="K39" s="7" t="s">
        <v>456</v>
      </c>
      <c r="L39" s="7" t="s">
        <v>457</v>
      </c>
      <c r="M39" s="7" t="s">
        <v>458</v>
      </c>
      <c r="N39" s="7" t="s">
        <v>459</v>
      </c>
    </row>
    <row r="40" ht="15.75" customHeight="1">
      <c r="A40" s="11" t="s">
        <v>460</v>
      </c>
      <c r="B40" s="11" t="s">
        <v>461</v>
      </c>
      <c r="C40" s="9" t="s">
        <v>12</v>
      </c>
      <c r="D40" s="7" t="s">
        <v>284</v>
      </c>
      <c r="E40" s="7" t="s">
        <v>54</v>
      </c>
      <c r="F40" s="7" t="s">
        <v>462</v>
      </c>
      <c r="G40" s="7" t="s">
        <v>463</v>
      </c>
      <c r="H40" s="7" t="s">
        <v>464</v>
      </c>
      <c r="I40" s="7" t="s">
        <v>465</v>
      </c>
      <c r="J40" s="7" t="s">
        <v>466</v>
      </c>
      <c r="K40" s="7" t="s">
        <v>467</v>
      </c>
      <c r="L40" s="7" t="s">
        <v>468</v>
      </c>
      <c r="M40" s="7" t="s">
        <v>469</v>
      </c>
      <c r="N40" s="7" t="s">
        <v>184</v>
      </c>
    </row>
    <row r="41" ht="15.75" customHeight="1">
      <c r="A41" s="11" t="s">
        <v>470</v>
      </c>
      <c r="B41" s="11" t="s">
        <v>471</v>
      </c>
      <c r="C41" s="9" t="s">
        <v>12</v>
      </c>
      <c r="D41" s="7" t="s">
        <v>284</v>
      </c>
      <c r="E41" s="7" t="s">
        <v>54</v>
      </c>
      <c r="F41" s="7" t="s">
        <v>472</v>
      </c>
      <c r="G41" s="7" t="s">
        <v>473</v>
      </c>
      <c r="H41" s="7" t="s">
        <v>474</v>
      </c>
      <c r="I41" s="7" t="s">
        <v>475</v>
      </c>
      <c r="J41" s="7" t="s">
        <v>476</v>
      </c>
      <c r="K41" s="7" t="s">
        <v>477</v>
      </c>
      <c r="L41" s="7" t="s">
        <v>478</v>
      </c>
      <c r="M41" s="7" t="s">
        <v>479</v>
      </c>
      <c r="N41" s="7" t="s">
        <v>480</v>
      </c>
    </row>
    <row r="42" ht="15.75" customHeight="1">
      <c r="A42" s="11" t="s">
        <v>481</v>
      </c>
      <c r="B42" s="11" t="s">
        <v>482</v>
      </c>
      <c r="C42" s="8" t="s">
        <v>9</v>
      </c>
      <c r="D42" s="7" t="s">
        <v>284</v>
      </c>
      <c r="E42" s="7" t="s">
        <v>261</v>
      </c>
      <c r="F42" s="7" t="s">
        <v>483</v>
      </c>
      <c r="G42" s="7" t="s">
        <v>484</v>
      </c>
      <c r="H42" s="7" t="s">
        <v>485</v>
      </c>
      <c r="I42" s="7" t="s">
        <v>486</v>
      </c>
      <c r="J42" s="7" t="s">
        <v>487</v>
      </c>
      <c r="K42" s="7" t="s">
        <v>488</v>
      </c>
      <c r="L42" s="7" t="s">
        <v>489</v>
      </c>
      <c r="M42" s="7" t="s">
        <v>490</v>
      </c>
      <c r="N42" s="7" t="s">
        <v>247</v>
      </c>
    </row>
    <row r="43" ht="15.75" customHeight="1">
      <c r="A43" s="11" t="s">
        <v>491</v>
      </c>
      <c r="B43" s="11" t="s">
        <v>492</v>
      </c>
      <c r="C43" s="8" t="s">
        <v>9</v>
      </c>
      <c r="D43" s="7" t="s">
        <v>284</v>
      </c>
      <c r="E43" s="7" t="s">
        <v>141</v>
      </c>
      <c r="F43" s="7" t="s">
        <v>493</v>
      </c>
      <c r="G43" s="7" t="s">
        <v>494</v>
      </c>
      <c r="H43" s="7" t="s">
        <v>495</v>
      </c>
      <c r="I43" s="7" t="s">
        <v>496</v>
      </c>
      <c r="J43" s="7" t="s">
        <v>497</v>
      </c>
      <c r="K43" s="7" t="s">
        <v>498</v>
      </c>
      <c r="L43" s="7" t="s">
        <v>499</v>
      </c>
      <c r="M43" s="7" t="s">
        <v>500</v>
      </c>
      <c r="N43" s="7" t="s">
        <v>501</v>
      </c>
    </row>
    <row r="44" ht="15.75" customHeight="1">
      <c r="A44" s="11" t="s">
        <v>502</v>
      </c>
      <c r="B44" s="11" t="s">
        <v>503</v>
      </c>
      <c r="C44" s="9" t="s">
        <v>12</v>
      </c>
      <c r="D44" s="7" t="s">
        <v>504</v>
      </c>
      <c r="E44" s="7" t="s">
        <v>54</v>
      </c>
      <c r="F44" s="7" t="s">
        <v>505</v>
      </c>
      <c r="G44" s="7" t="s">
        <v>506</v>
      </c>
      <c r="H44" s="7" t="s">
        <v>507</v>
      </c>
      <c r="I44" s="7" t="s">
        <v>508</v>
      </c>
      <c r="J44" s="7" t="s">
        <v>509</v>
      </c>
      <c r="K44" s="7" t="s">
        <v>510</v>
      </c>
      <c r="L44" s="7" t="s">
        <v>511</v>
      </c>
      <c r="M44" s="7" t="s">
        <v>512</v>
      </c>
      <c r="N44" s="7" t="s">
        <v>513</v>
      </c>
    </row>
    <row r="45" ht="15.75" customHeight="1">
      <c r="A45" s="11" t="s">
        <v>514</v>
      </c>
      <c r="B45" s="11" t="s">
        <v>515</v>
      </c>
      <c r="C45" s="10" t="s">
        <v>15</v>
      </c>
      <c r="D45" s="7" t="s">
        <v>504</v>
      </c>
      <c r="E45" s="7" t="s">
        <v>54</v>
      </c>
      <c r="F45" s="7" t="s">
        <v>516</v>
      </c>
      <c r="G45" s="7" t="s">
        <v>517</v>
      </c>
      <c r="H45" s="7" t="s">
        <v>518</v>
      </c>
      <c r="I45" s="7" t="s">
        <v>519</v>
      </c>
      <c r="J45" s="7" t="s">
        <v>520</v>
      </c>
      <c r="K45" s="7" t="s">
        <v>521</v>
      </c>
      <c r="L45" s="7" t="s">
        <v>522</v>
      </c>
      <c r="M45" s="7" t="s">
        <v>523</v>
      </c>
      <c r="N45" s="7" t="s">
        <v>513</v>
      </c>
    </row>
    <row r="46" ht="15.75" customHeight="1">
      <c r="A46" s="11" t="s">
        <v>524</v>
      </c>
      <c r="B46" s="11" t="s">
        <v>525</v>
      </c>
      <c r="C46" s="8" t="s">
        <v>9</v>
      </c>
      <c r="D46" s="7" t="s">
        <v>504</v>
      </c>
      <c r="E46" s="7" t="s">
        <v>175</v>
      </c>
      <c r="F46" s="7" t="s">
        <v>526</v>
      </c>
      <c r="G46" s="7" t="s">
        <v>527</v>
      </c>
      <c r="H46" s="7" t="s">
        <v>528</v>
      </c>
      <c r="I46" s="7" t="s">
        <v>529</v>
      </c>
      <c r="J46" s="7" t="s">
        <v>530</v>
      </c>
      <c r="K46" s="7" t="s">
        <v>531</v>
      </c>
      <c r="L46" s="7" t="s">
        <v>532</v>
      </c>
      <c r="M46" s="7" t="s">
        <v>533</v>
      </c>
      <c r="N46" s="7" t="s">
        <v>534</v>
      </c>
    </row>
    <row r="47" ht="15.75" customHeight="1">
      <c r="A47" s="11" t="s">
        <v>535</v>
      </c>
      <c r="B47" s="11" t="s">
        <v>536</v>
      </c>
      <c r="C47" s="8" t="s">
        <v>9</v>
      </c>
      <c r="D47" s="7" t="s">
        <v>504</v>
      </c>
      <c r="E47" s="7" t="s">
        <v>305</v>
      </c>
      <c r="F47" s="7" t="s">
        <v>537</v>
      </c>
      <c r="G47" s="7" t="s">
        <v>538</v>
      </c>
      <c r="H47" s="7" t="s">
        <v>539</v>
      </c>
      <c r="I47" s="7" t="s">
        <v>540</v>
      </c>
      <c r="J47" s="7" t="s">
        <v>541</v>
      </c>
      <c r="K47" s="7" t="s">
        <v>542</v>
      </c>
      <c r="L47" s="7" t="s">
        <v>543</v>
      </c>
      <c r="M47" s="7" t="s">
        <v>544</v>
      </c>
      <c r="N47" s="7" t="s">
        <v>74</v>
      </c>
    </row>
    <row r="48" ht="15.75" customHeight="1">
      <c r="A48" s="11" t="s">
        <v>545</v>
      </c>
      <c r="B48" s="11" t="s">
        <v>546</v>
      </c>
      <c r="C48" s="9" t="s">
        <v>12</v>
      </c>
      <c r="D48" s="7" t="s">
        <v>504</v>
      </c>
      <c r="E48" s="7" t="s">
        <v>54</v>
      </c>
      <c r="F48" s="7" t="s">
        <v>547</v>
      </c>
      <c r="G48" s="7" t="s">
        <v>548</v>
      </c>
      <c r="H48" s="7" t="s">
        <v>549</v>
      </c>
      <c r="I48" s="7" t="s">
        <v>550</v>
      </c>
      <c r="J48" s="7" t="s">
        <v>551</v>
      </c>
      <c r="K48" s="7" t="s">
        <v>552</v>
      </c>
      <c r="L48" s="7" t="s">
        <v>553</v>
      </c>
      <c r="M48" s="7" t="s">
        <v>554</v>
      </c>
      <c r="N48" s="7" t="s">
        <v>247</v>
      </c>
    </row>
    <row r="49" ht="15.75" customHeight="1">
      <c r="A49" s="11" t="s">
        <v>555</v>
      </c>
      <c r="B49" s="11" t="s">
        <v>556</v>
      </c>
      <c r="C49" s="8" t="s">
        <v>9</v>
      </c>
      <c r="D49" s="7" t="s">
        <v>504</v>
      </c>
      <c r="E49" s="7" t="s">
        <v>305</v>
      </c>
      <c r="F49" s="7" t="s">
        <v>557</v>
      </c>
      <c r="G49" s="7" t="s">
        <v>558</v>
      </c>
      <c r="H49" s="7" t="s">
        <v>559</v>
      </c>
      <c r="I49" s="7" t="s">
        <v>560</v>
      </c>
      <c r="J49" s="7" t="s">
        <v>561</v>
      </c>
      <c r="K49" s="7" t="s">
        <v>562</v>
      </c>
      <c r="L49" s="7" t="s">
        <v>563</v>
      </c>
      <c r="M49" s="7" t="s">
        <v>564</v>
      </c>
      <c r="N49" s="7" t="s">
        <v>565</v>
      </c>
    </row>
    <row r="50" ht="15.75" customHeight="1">
      <c r="A50" s="11" t="s">
        <v>566</v>
      </c>
      <c r="B50" s="11" t="s">
        <v>567</v>
      </c>
      <c r="C50" s="5" t="s">
        <v>6</v>
      </c>
      <c r="D50" s="7" t="s">
        <v>504</v>
      </c>
      <c r="E50" s="7" t="s">
        <v>54</v>
      </c>
      <c r="F50" s="7" t="s">
        <v>568</v>
      </c>
      <c r="G50" s="7" t="s">
        <v>569</v>
      </c>
      <c r="H50" s="7" t="s">
        <v>570</v>
      </c>
      <c r="I50" s="7" t="s">
        <v>571</v>
      </c>
      <c r="J50" s="7" t="s">
        <v>572</v>
      </c>
      <c r="K50" s="7" t="s">
        <v>573</v>
      </c>
      <c r="L50" s="7" t="s">
        <v>574</v>
      </c>
      <c r="M50" s="7" t="s">
        <v>575</v>
      </c>
      <c r="N50" s="7" t="s">
        <v>448</v>
      </c>
    </row>
    <row r="51" ht="15.75" customHeight="1">
      <c r="A51" s="11" t="s">
        <v>576</v>
      </c>
      <c r="B51" s="11" t="s">
        <v>577</v>
      </c>
      <c r="C51" s="8" t="s">
        <v>9</v>
      </c>
      <c r="D51" s="7" t="s">
        <v>504</v>
      </c>
      <c r="E51" s="7" t="s">
        <v>54</v>
      </c>
      <c r="F51" s="7" t="s">
        <v>578</v>
      </c>
      <c r="G51" s="7" t="s">
        <v>579</v>
      </c>
      <c r="H51" s="7" t="s">
        <v>580</v>
      </c>
      <c r="I51" s="7" t="s">
        <v>581</v>
      </c>
      <c r="J51" s="7" t="s">
        <v>582</v>
      </c>
      <c r="K51" s="7" t="s">
        <v>583</v>
      </c>
      <c r="L51" s="7" t="s">
        <v>584</v>
      </c>
      <c r="M51" s="7" t="s">
        <v>585</v>
      </c>
      <c r="N51" s="7" t="s">
        <v>85</v>
      </c>
    </row>
    <row r="52" ht="15.75" customHeight="1">
      <c r="A52" s="11" t="s">
        <v>586</v>
      </c>
      <c r="B52" s="11" t="s">
        <v>587</v>
      </c>
      <c r="C52" s="8" t="s">
        <v>9</v>
      </c>
      <c r="D52" s="7" t="s">
        <v>504</v>
      </c>
      <c r="E52" s="7" t="s">
        <v>88</v>
      </c>
      <c r="F52" s="7" t="s">
        <v>588</v>
      </c>
      <c r="G52" s="7" t="s">
        <v>589</v>
      </c>
      <c r="H52" s="7" t="s">
        <v>590</v>
      </c>
      <c r="I52" s="7" t="s">
        <v>591</v>
      </c>
      <c r="J52" s="7" t="s">
        <v>592</v>
      </c>
      <c r="K52" s="7" t="s">
        <v>593</v>
      </c>
      <c r="L52" s="7" t="s">
        <v>594</v>
      </c>
      <c r="M52" s="7" t="s">
        <v>595</v>
      </c>
      <c r="N52" s="7" t="s">
        <v>85</v>
      </c>
    </row>
    <row r="53" ht="15.75" customHeight="1">
      <c r="A53" s="11" t="s">
        <v>596</v>
      </c>
      <c r="B53" s="11" t="s">
        <v>597</v>
      </c>
      <c r="C53" s="9" t="s">
        <v>12</v>
      </c>
      <c r="D53" s="7" t="s">
        <v>504</v>
      </c>
      <c r="E53" s="7" t="s">
        <v>305</v>
      </c>
      <c r="F53" s="7" t="s">
        <v>598</v>
      </c>
      <c r="G53" s="7" t="s">
        <v>599</v>
      </c>
      <c r="H53" s="7" t="s">
        <v>600</v>
      </c>
      <c r="I53" s="7" t="s">
        <v>601</v>
      </c>
      <c r="J53" s="7" t="s">
        <v>602</v>
      </c>
      <c r="K53" s="7" t="s">
        <v>603</v>
      </c>
      <c r="L53" s="7" t="s">
        <v>604</v>
      </c>
      <c r="M53" s="7" t="s">
        <v>605</v>
      </c>
      <c r="N53" s="7" t="s">
        <v>501</v>
      </c>
    </row>
    <row r="54" ht="15.75" customHeight="1">
      <c r="A54" s="11" t="s">
        <v>606</v>
      </c>
      <c r="B54" s="11" t="s">
        <v>607</v>
      </c>
      <c r="C54" s="8" t="s">
        <v>9</v>
      </c>
      <c r="D54" s="7" t="s">
        <v>504</v>
      </c>
      <c r="E54" s="7" t="s">
        <v>54</v>
      </c>
      <c r="F54" s="7" t="s">
        <v>608</v>
      </c>
      <c r="G54" s="7" t="s">
        <v>609</v>
      </c>
      <c r="H54" s="7" t="s">
        <v>610</v>
      </c>
      <c r="I54" s="7" t="s">
        <v>611</v>
      </c>
      <c r="J54" s="7" t="s">
        <v>612</v>
      </c>
      <c r="K54" s="7" t="s">
        <v>613</v>
      </c>
      <c r="L54" s="7" t="s">
        <v>614</v>
      </c>
      <c r="M54" s="7" t="s">
        <v>615</v>
      </c>
      <c r="N54" s="7" t="s">
        <v>565</v>
      </c>
    </row>
    <row r="55" ht="15.75" customHeight="1">
      <c r="A55" s="11" t="s">
        <v>616</v>
      </c>
      <c r="B55" s="11" t="s">
        <v>617</v>
      </c>
      <c r="C55" s="9" t="s">
        <v>12</v>
      </c>
      <c r="D55" s="7" t="s">
        <v>504</v>
      </c>
      <c r="E55" s="7" t="s">
        <v>88</v>
      </c>
      <c r="F55" s="7" t="s">
        <v>618</v>
      </c>
      <c r="G55" s="7" t="s">
        <v>619</v>
      </c>
      <c r="H55" s="7" t="s">
        <v>620</v>
      </c>
      <c r="I55" s="7" t="s">
        <v>621</v>
      </c>
      <c r="J55" s="7" t="s">
        <v>622</v>
      </c>
      <c r="K55" s="7" t="s">
        <v>623</v>
      </c>
      <c r="L55" s="7" t="s">
        <v>624</v>
      </c>
      <c r="M55" s="7" t="s">
        <v>625</v>
      </c>
      <c r="N55" s="7" t="s">
        <v>565</v>
      </c>
    </row>
    <row r="56" ht="15.75" customHeight="1">
      <c r="A56" s="11" t="s">
        <v>626</v>
      </c>
      <c r="B56" s="11" t="s">
        <v>627</v>
      </c>
      <c r="C56" s="5" t="s">
        <v>6</v>
      </c>
      <c r="D56" s="7" t="s">
        <v>504</v>
      </c>
      <c r="E56" s="7" t="s">
        <v>54</v>
      </c>
      <c r="F56" s="7" t="s">
        <v>628</v>
      </c>
      <c r="G56" s="7" t="s">
        <v>629</v>
      </c>
      <c r="H56" s="7" t="s">
        <v>630</v>
      </c>
      <c r="I56" s="7" t="s">
        <v>631</v>
      </c>
      <c r="J56" s="7" t="s">
        <v>632</v>
      </c>
      <c r="K56" s="7" t="s">
        <v>633</v>
      </c>
      <c r="L56" s="7" t="s">
        <v>634</v>
      </c>
      <c r="M56" s="7" t="s">
        <v>635</v>
      </c>
      <c r="N56" s="7" t="s">
        <v>247</v>
      </c>
    </row>
    <row r="57" ht="15.75" customHeight="1">
      <c r="A57" s="11" t="s">
        <v>636</v>
      </c>
      <c r="B57" s="11" t="s">
        <v>637</v>
      </c>
      <c r="C57" s="5" t="s">
        <v>6</v>
      </c>
      <c r="D57" s="7" t="s">
        <v>504</v>
      </c>
      <c r="E57" s="7" t="s">
        <v>54</v>
      </c>
      <c r="F57" s="7" t="s">
        <v>638</v>
      </c>
      <c r="G57" s="7" t="s">
        <v>639</v>
      </c>
      <c r="H57" s="7" t="s">
        <v>640</v>
      </c>
      <c r="I57" s="7" t="s">
        <v>641</v>
      </c>
      <c r="J57" s="7" t="s">
        <v>642</v>
      </c>
      <c r="K57" s="7" t="s">
        <v>643</v>
      </c>
      <c r="L57" s="7" t="s">
        <v>644</v>
      </c>
      <c r="M57" s="7" t="s">
        <v>645</v>
      </c>
      <c r="N57" s="7" t="s">
        <v>646</v>
      </c>
    </row>
    <row r="58" ht="15.75" customHeight="1">
      <c r="A58" s="11" t="s">
        <v>647</v>
      </c>
      <c r="B58" s="11" t="s">
        <v>648</v>
      </c>
      <c r="C58" s="8" t="s">
        <v>9</v>
      </c>
      <c r="D58" s="7" t="s">
        <v>504</v>
      </c>
      <c r="E58" s="7" t="s">
        <v>261</v>
      </c>
      <c r="F58" s="7" t="s">
        <v>649</v>
      </c>
      <c r="G58" s="7" t="s">
        <v>650</v>
      </c>
      <c r="H58" s="7" t="s">
        <v>651</v>
      </c>
      <c r="I58" s="7" t="s">
        <v>652</v>
      </c>
      <c r="J58" s="7" t="s">
        <v>653</v>
      </c>
      <c r="K58" s="7" t="s">
        <v>654</v>
      </c>
      <c r="L58" s="7" t="s">
        <v>655</v>
      </c>
      <c r="M58" s="7" t="s">
        <v>656</v>
      </c>
      <c r="N58" s="7" t="s">
        <v>247</v>
      </c>
    </row>
    <row r="59" ht="15.75" customHeight="1">
      <c r="A59" s="11" t="s">
        <v>657</v>
      </c>
      <c r="B59" s="11" t="s">
        <v>658</v>
      </c>
      <c r="C59" s="8" t="s">
        <v>9</v>
      </c>
      <c r="D59" s="7" t="s">
        <v>504</v>
      </c>
      <c r="E59" s="7" t="s">
        <v>175</v>
      </c>
      <c r="F59" s="7" t="s">
        <v>659</v>
      </c>
      <c r="G59" s="7" t="s">
        <v>660</v>
      </c>
      <c r="H59" s="7" t="s">
        <v>661</v>
      </c>
      <c r="I59" s="7" t="s">
        <v>662</v>
      </c>
      <c r="J59" s="7" t="s">
        <v>663</v>
      </c>
      <c r="K59" s="7" t="s">
        <v>664</v>
      </c>
      <c r="L59" s="7" t="s">
        <v>665</v>
      </c>
      <c r="M59" s="7" t="s">
        <v>666</v>
      </c>
      <c r="N59" s="7" t="s">
        <v>667</v>
      </c>
    </row>
    <row r="60" ht="15.75" customHeight="1">
      <c r="A60" s="11" t="s">
        <v>668</v>
      </c>
      <c r="B60" s="11" t="s">
        <v>669</v>
      </c>
      <c r="C60" s="5" t="s">
        <v>6</v>
      </c>
      <c r="D60" s="7" t="s">
        <v>504</v>
      </c>
      <c r="E60" s="7" t="s">
        <v>54</v>
      </c>
      <c r="F60" s="7" t="s">
        <v>670</v>
      </c>
      <c r="G60" s="7" t="s">
        <v>671</v>
      </c>
      <c r="H60" s="7" t="s">
        <v>672</v>
      </c>
      <c r="I60" s="7" t="s">
        <v>673</v>
      </c>
      <c r="J60" s="7" t="s">
        <v>674</v>
      </c>
      <c r="K60" s="7" t="s">
        <v>675</v>
      </c>
      <c r="L60" s="7" t="s">
        <v>676</v>
      </c>
      <c r="M60" s="7" t="s">
        <v>677</v>
      </c>
      <c r="N60" s="7" t="s">
        <v>678</v>
      </c>
    </row>
    <row r="61" ht="15.75" customHeight="1">
      <c r="A61" s="11" t="s">
        <v>679</v>
      </c>
      <c r="B61" s="11" t="s">
        <v>680</v>
      </c>
      <c r="C61" s="8" t="s">
        <v>9</v>
      </c>
      <c r="D61" s="7" t="s">
        <v>504</v>
      </c>
      <c r="E61" s="7" t="s">
        <v>54</v>
      </c>
      <c r="F61" s="7" t="s">
        <v>681</v>
      </c>
      <c r="G61" s="7" t="s">
        <v>682</v>
      </c>
      <c r="H61" s="7" t="s">
        <v>683</v>
      </c>
      <c r="I61" s="7" t="s">
        <v>684</v>
      </c>
      <c r="J61" s="7" t="s">
        <v>685</v>
      </c>
      <c r="K61" s="7" t="s">
        <v>686</v>
      </c>
      <c r="L61" s="7" t="s">
        <v>687</v>
      </c>
      <c r="M61" s="7" t="s">
        <v>688</v>
      </c>
      <c r="N61" s="7" t="s">
        <v>63</v>
      </c>
    </row>
    <row r="62" ht="15.75" customHeight="1">
      <c r="A62" s="11" t="s">
        <v>689</v>
      </c>
      <c r="B62" s="11" t="s">
        <v>690</v>
      </c>
      <c r="C62" s="8" t="s">
        <v>9</v>
      </c>
      <c r="D62" s="7" t="s">
        <v>504</v>
      </c>
      <c r="E62" s="7" t="s">
        <v>88</v>
      </c>
      <c r="F62" s="7" t="s">
        <v>691</v>
      </c>
      <c r="G62" s="7" t="s">
        <v>692</v>
      </c>
      <c r="H62" s="7" t="s">
        <v>693</v>
      </c>
      <c r="I62" s="7" t="s">
        <v>694</v>
      </c>
      <c r="J62" s="7" t="s">
        <v>695</v>
      </c>
      <c r="K62" s="7" t="s">
        <v>696</v>
      </c>
      <c r="L62" s="7" t="s">
        <v>697</v>
      </c>
      <c r="M62" s="7" t="s">
        <v>698</v>
      </c>
      <c r="N62" s="7" t="s">
        <v>172</v>
      </c>
    </row>
    <row r="63" ht="15.75" customHeight="1">
      <c r="A63" s="11" t="s">
        <v>699</v>
      </c>
      <c r="B63" s="11" t="s">
        <v>700</v>
      </c>
      <c r="C63" s="5" t="s">
        <v>6</v>
      </c>
      <c r="D63" s="7" t="s">
        <v>504</v>
      </c>
      <c r="E63" s="7" t="s">
        <v>54</v>
      </c>
      <c r="F63" s="7" t="s">
        <v>701</v>
      </c>
      <c r="G63" s="7" t="s">
        <v>702</v>
      </c>
      <c r="H63" s="7" t="s">
        <v>703</v>
      </c>
      <c r="I63" s="7" t="s">
        <v>704</v>
      </c>
      <c r="J63" s="7" t="s">
        <v>705</v>
      </c>
      <c r="K63" s="7" t="s">
        <v>706</v>
      </c>
      <c r="L63" s="7" t="s">
        <v>707</v>
      </c>
      <c r="M63" s="7" t="s">
        <v>708</v>
      </c>
      <c r="N63" s="7" t="s">
        <v>270</v>
      </c>
    </row>
    <row r="64" ht="15.75" customHeight="1">
      <c r="A64" s="11" t="s">
        <v>709</v>
      </c>
      <c r="B64" s="11" t="s">
        <v>710</v>
      </c>
      <c r="C64" s="9" t="s">
        <v>12</v>
      </c>
      <c r="D64" s="7" t="s">
        <v>504</v>
      </c>
      <c r="E64" s="7" t="s">
        <v>54</v>
      </c>
      <c r="F64" s="7" t="s">
        <v>711</v>
      </c>
      <c r="G64" s="7" t="s">
        <v>712</v>
      </c>
      <c r="H64" s="7" t="s">
        <v>713</v>
      </c>
      <c r="I64" s="7" t="s">
        <v>714</v>
      </c>
      <c r="J64" s="7" t="s">
        <v>715</v>
      </c>
      <c r="K64" s="7" t="s">
        <v>716</v>
      </c>
      <c r="L64" s="7" t="s">
        <v>717</v>
      </c>
      <c r="M64" s="7" t="s">
        <v>718</v>
      </c>
      <c r="N64" s="7" t="s">
        <v>719</v>
      </c>
    </row>
    <row r="65" ht="15.75" customHeight="1">
      <c r="A65" s="11" t="s">
        <v>720</v>
      </c>
      <c r="B65" s="11" t="s">
        <v>721</v>
      </c>
      <c r="C65" s="8" t="s">
        <v>9</v>
      </c>
      <c r="D65" s="7" t="s">
        <v>722</v>
      </c>
      <c r="E65" s="7" t="s">
        <v>54</v>
      </c>
      <c r="F65" s="7" t="s">
        <v>723</v>
      </c>
      <c r="G65" s="7" t="s">
        <v>724</v>
      </c>
      <c r="H65" s="7" t="s">
        <v>725</v>
      </c>
      <c r="I65" s="7" t="s">
        <v>726</v>
      </c>
      <c r="J65" s="7" t="s">
        <v>727</v>
      </c>
      <c r="K65" s="7" t="s">
        <v>728</v>
      </c>
      <c r="L65" s="7" t="s">
        <v>729</v>
      </c>
      <c r="M65" s="7" t="s">
        <v>730</v>
      </c>
      <c r="N65" s="7" t="s">
        <v>74</v>
      </c>
    </row>
    <row r="66" ht="15.75" customHeight="1">
      <c r="A66" s="11" t="s">
        <v>731</v>
      </c>
      <c r="B66" s="11" t="s">
        <v>732</v>
      </c>
      <c r="C66" s="8" t="s">
        <v>9</v>
      </c>
      <c r="D66" s="7" t="s">
        <v>722</v>
      </c>
      <c r="E66" s="7" t="s">
        <v>305</v>
      </c>
      <c r="F66" s="7" t="s">
        <v>733</v>
      </c>
      <c r="G66" s="7" t="s">
        <v>734</v>
      </c>
      <c r="H66" s="7" t="s">
        <v>735</v>
      </c>
      <c r="I66" s="7" t="s">
        <v>736</v>
      </c>
      <c r="J66" s="7" t="s">
        <v>737</v>
      </c>
      <c r="K66" s="7" t="s">
        <v>738</v>
      </c>
      <c r="L66" s="7" t="s">
        <v>739</v>
      </c>
      <c r="M66" s="7" t="s">
        <v>740</v>
      </c>
      <c r="N66" s="7" t="s">
        <v>741</v>
      </c>
    </row>
    <row r="67" ht="15.75" customHeight="1">
      <c r="A67" s="11" t="s">
        <v>742</v>
      </c>
      <c r="B67" s="11" t="s">
        <v>743</v>
      </c>
      <c r="C67" s="8" t="s">
        <v>9</v>
      </c>
      <c r="D67" s="7" t="s">
        <v>722</v>
      </c>
      <c r="E67" s="7" t="s">
        <v>54</v>
      </c>
      <c r="F67" s="7" t="s">
        <v>744</v>
      </c>
      <c r="G67" s="7" t="s">
        <v>745</v>
      </c>
      <c r="H67" s="7" t="s">
        <v>746</v>
      </c>
      <c r="I67" s="7" t="s">
        <v>747</v>
      </c>
      <c r="J67" s="7" t="s">
        <v>748</v>
      </c>
      <c r="K67" s="7" t="s">
        <v>749</v>
      </c>
      <c r="L67" s="7" t="s">
        <v>750</v>
      </c>
      <c r="M67" s="7" t="s">
        <v>751</v>
      </c>
      <c r="N67" s="7" t="s">
        <v>63</v>
      </c>
    </row>
    <row r="68" ht="15.75" customHeight="1">
      <c r="A68" s="11" t="s">
        <v>752</v>
      </c>
      <c r="B68" s="11" t="s">
        <v>753</v>
      </c>
      <c r="C68" s="8" t="s">
        <v>9</v>
      </c>
      <c r="D68" s="7" t="s">
        <v>722</v>
      </c>
      <c r="E68" s="7" t="s">
        <v>141</v>
      </c>
      <c r="F68" s="7" t="s">
        <v>754</v>
      </c>
      <c r="G68" s="7" t="s">
        <v>755</v>
      </c>
      <c r="H68" s="7" t="s">
        <v>756</v>
      </c>
      <c r="I68" s="7" t="s">
        <v>757</v>
      </c>
      <c r="J68" s="7" t="s">
        <v>758</v>
      </c>
      <c r="K68" s="7" t="s">
        <v>759</v>
      </c>
      <c r="L68" s="7" t="s">
        <v>760</v>
      </c>
      <c r="M68" s="7" t="s">
        <v>761</v>
      </c>
      <c r="N68" s="7" t="s">
        <v>247</v>
      </c>
    </row>
    <row r="69" ht="15.75" customHeight="1">
      <c r="A69" s="11" t="s">
        <v>762</v>
      </c>
      <c r="B69" s="11" t="s">
        <v>763</v>
      </c>
      <c r="C69" s="8" t="s">
        <v>9</v>
      </c>
      <c r="D69" s="7" t="s">
        <v>722</v>
      </c>
      <c r="E69" s="7" t="s">
        <v>54</v>
      </c>
      <c r="F69" s="7" t="s">
        <v>764</v>
      </c>
      <c r="G69" s="7" t="s">
        <v>765</v>
      </c>
      <c r="H69" s="7" t="s">
        <v>766</v>
      </c>
      <c r="I69" s="7" t="s">
        <v>767</v>
      </c>
      <c r="J69" s="7" t="s">
        <v>768</v>
      </c>
      <c r="K69" s="7" t="s">
        <v>769</v>
      </c>
      <c r="L69" s="7" t="s">
        <v>770</v>
      </c>
      <c r="M69" s="7" t="s">
        <v>771</v>
      </c>
      <c r="N69" s="7" t="s">
        <v>247</v>
      </c>
    </row>
    <row r="70" ht="15.75" customHeight="1">
      <c r="A70" s="11" t="s">
        <v>772</v>
      </c>
      <c r="B70" s="11" t="s">
        <v>773</v>
      </c>
      <c r="C70" s="9" t="s">
        <v>12</v>
      </c>
      <c r="D70" s="7" t="s">
        <v>722</v>
      </c>
      <c r="E70" s="7" t="s">
        <v>54</v>
      </c>
      <c r="F70" s="7" t="s">
        <v>774</v>
      </c>
      <c r="G70" s="7" t="s">
        <v>775</v>
      </c>
      <c r="H70" s="7" t="s">
        <v>776</v>
      </c>
      <c r="I70" s="7" t="s">
        <v>777</v>
      </c>
      <c r="J70" s="7" t="s">
        <v>778</v>
      </c>
      <c r="K70" s="7" t="s">
        <v>779</v>
      </c>
      <c r="L70" s="7" t="s">
        <v>780</v>
      </c>
      <c r="M70" s="7" t="s">
        <v>781</v>
      </c>
      <c r="N70" s="7" t="s">
        <v>161</v>
      </c>
    </row>
    <row r="71" ht="15.75" customHeight="1">
      <c r="A71" s="11" t="s">
        <v>782</v>
      </c>
      <c r="B71" s="11" t="s">
        <v>783</v>
      </c>
      <c r="C71" s="8" t="s">
        <v>9</v>
      </c>
      <c r="D71" s="7" t="s">
        <v>722</v>
      </c>
      <c r="E71" s="7" t="s">
        <v>175</v>
      </c>
      <c r="F71" s="7" t="s">
        <v>784</v>
      </c>
      <c r="G71" s="7" t="s">
        <v>785</v>
      </c>
      <c r="H71" s="7" t="s">
        <v>786</v>
      </c>
      <c r="I71" s="7" t="s">
        <v>787</v>
      </c>
      <c r="J71" s="7" t="s">
        <v>788</v>
      </c>
      <c r="K71" s="7" t="s">
        <v>789</v>
      </c>
      <c r="L71" s="7" t="s">
        <v>790</v>
      </c>
      <c r="M71" s="7" t="s">
        <v>791</v>
      </c>
      <c r="N71" s="7" t="s">
        <v>792</v>
      </c>
    </row>
    <row r="72" ht="15.75" customHeight="1">
      <c r="A72" s="11" t="s">
        <v>793</v>
      </c>
      <c r="B72" s="11" t="s">
        <v>794</v>
      </c>
      <c r="C72" s="8" t="s">
        <v>9</v>
      </c>
      <c r="D72" s="7" t="s">
        <v>722</v>
      </c>
      <c r="E72" s="7" t="s">
        <v>175</v>
      </c>
      <c r="F72" s="7" t="s">
        <v>795</v>
      </c>
      <c r="G72" s="7" t="s">
        <v>796</v>
      </c>
      <c r="H72" s="7" t="s">
        <v>797</v>
      </c>
      <c r="I72" s="7" t="s">
        <v>798</v>
      </c>
      <c r="J72" s="7" t="s">
        <v>799</v>
      </c>
      <c r="K72" s="7" t="s">
        <v>800</v>
      </c>
      <c r="L72" s="7" t="s">
        <v>801</v>
      </c>
      <c r="M72" s="7" t="s">
        <v>802</v>
      </c>
      <c r="N72" s="7" t="s">
        <v>150</v>
      </c>
    </row>
    <row r="73" ht="15.75" customHeight="1">
      <c r="A73" s="11" t="s">
        <v>803</v>
      </c>
      <c r="B73" s="11" t="s">
        <v>804</v>
      </c>
      <c r="C73" s="8" t="s">
        <v>9</v>
      </c>
      <c r="D73" s="7" t="s">
        <v>722</v>
      </c>
      <c r="E73" s="7" t="s">
        <v>88</v>
      </c>
      <c r="F73" s="7" t="s">
        <v>805</v>
      </c>
      <c r="G73" s="7" t="s">
        <v>806</v>
      </c>
      <c r="H73" s="7" t="s">
        <v>807</v>
      </c>
      <c r="I73" s="7" t="s">
        <v>808</v>
      </c>
      <c r="J73" s="7" t="s">
        <v>809</v>
      </c>
      <c r="K73" s="7" t="s">
        <v>810</v>
      </c>
      <c r="L73" s="7" t="s">
        <v>811</v>
      </c>
      <c r="M73" s="7" t="s">
        <v>812</v>
      </c>
      <c r="N73" s="7" t="s">
        <v>74</v>
      </c>
    </row>
    <row r="74" ht="15.75" customHeight="1">
      <c r="A74" s="11" t="s">
        <v>813</v>
      </c>
      <c r="B74" s="11" t="s">
        <v>814</v>
      </c>
      <c r="C74" s="10" t="s">
        <v>15</v>
      </c>
      <c r="D74" s="7" t="s">
        <v>722</v>
      </c>
      <c r="E74" s="7" t="s">
        <v>54</v>
      </c>
      <c r="F74" s="7" t="s">
        <v>815</v>
      </c>
      <c r="G74" s="7" t="s">
        <v>816</v>
      </c>
      <c r="H74" s="7" t="s">
        <v>817</v>
      </c>
      <c r="I74" s="7" t="s">
        <v>818</v>
      </c>
      <c r="J74" s="7" t="s">
        <v>819</v>
      </c>
      <c r="K74" s="7" t="s">
        <v>820</v>
      </c>
      <c r="L74" s="7" t="s">
        <v>821</v>
      </c>
      <c r="M74" s="7" t="s">
        <v>822</v>
      </c>
      <c r="N74" s="7" t="s">
        <v>480</v>
      </c>
    </row>
    <row r="75" ht="15.75" customHeight="1">
      <c r="A75" s="11" t="s">
        <v>823</v>
      </c>
      <c r="B75" s="11" t="s">
        <v>824</v>
      </c>
      <c r="C75" s="5" t="s">
        <v>6</v>
      </c>
      <c r="D75" s="7" t="s">
        <v>722</v>
      </c>
      <c r="E75" s="7" t="s">
        <v>54</v>
      </c>
      <c r="F75" s="7" t="s">
        <v>825</v>
      </c>
      <c r="G75" s="7" t="s">
        <v>826</v>
      </c>
      <c r="H75" s="7" t="s">
        <v>827</v>
      </c>
      <c r="I75" s="7" t="s">
        <v>828</v>
      </c>
      <c r="J75" s="7" t="s">
        <v>829</v>
      </c>
      <c r="K75" s="7" t="s">
        <v>830</v>
      </c>
      <c r="L75" s="7" t="s">
        <v>831</v>
      </c>
      <c r="M75" s="7" t="s">
        <v>832</v>
      </c>
      <c r="N75" s="7" t="s">
        <v>741</v>
      </c>
    </row>
    <row r="76" ht="15.75" customHeight="1">
      <c r="A76" s="11" t="s">
        <v>833</v>
      </c>
      <c r="B76" s="11" t="s">
        <v>834</v>
      </c>
      <c r="C76" s="8" t="s">
        <v>9</v>
      </c>
      <c r="D76" s="7" t="s">
        <v>722</v>
      </c>
      <c r="E76" s="7" t="s">
        <v>305</v>
      </c>
      <c r="F76" s="7" t="s">
        <v>835</v>
      </c>
      <c r="G76" s="7" t="s">
        <v>836</v>
      </c>
      <c r="H76" s="7" t="s">
        <v>837</v>
      </c>
      <c r="I76" s="7" t="s">
        <v>838</v>
      </c>
      <c r="J76" s="7" t="s">
        <v>839</v>
      </c>
      <c r="K76" s="7" t="s">
        <v>840</v>
      </c>
      <c r="L76" s="7" t="s">
        <v>841</v>
      </c>
      <c r="M76" s="7" t="s">
        <v>842</v>
      </c>
      <c r="N76" s="7" t="s">
        <v>247</v>
      </c>
    </row>
    <row r="77" ht="15.75" customHeight="1">
      <c r="A77" s="11" t="s">
        <v>843</v>
      </c>
      <c r="B77" s="11" t="s">
        <v>844</v>
      </c>
      <c r="C77" s="9" t="s">
        <v>12</v>
      </c>
      <c r="D77" s="7" t="s">
        <v>722</v>
      </c>
      <c r="E77" s="7" t="s">
        <v>845</v>
      </c>
      <c r="F77" s="7" t="s">
        <v>846</v>
      </c>
      <c r="G77" s="7" t="s">
        <v>847</v>
      </c>
      <c r="H77" s="7" t="s">
        <v>848</v>
      </c>
      <c r="I77" s="7" t="s">
        <v>849</v>
      </c>
      <c r="J77" s="7" t="s">
        <v>850</v>
      </c>
      <c r="K77" s="7" t="s">
        <v>851</v>
      </c>
      <c r="L77" s="7" t="s">
        <v>852</v>
      </c>
      <c r="M77" s="7" t="s">
        <v>853</v>
      </c>
      <c r="N77" s="7" t="s">
        <v>161</v>
      </c>
    </row>
    <row r="78" ht="15.75" customHeight="1">
      <c r="A78" s="11" t="s">
        <v>854</v>
      </c>
      <c r="B78" s="11" t="s">
        <v>855</v>
      </c>
      <c r="C78" s="8" t="s">
        <v>9</v>
      </c>
      <c r="D78" s="7" t="s">
        <v>722</v>
      </c>
      <c r="E78" s="7" t="s">
        <v>856</v>
      </c>
      <c r="F78" s="7" t="s">
        <v>857</v>
      </c>
      <c r="G78" s="7" t="s">
        <v>858</v>
      </c>
      <c r="H78" s="7" t="s">
        <v>859</v>
      </c>
      <c r="I78" s="7" t="s">
        <v>860</v>
      </c>
      <c r="J78" s="7" t="s">
        <v>861</v>
      </c>
      <c r="K78" s="7" t="s">
        <v>862</v>
      </c>
      <c r="L78" s="7" t="s">
        <v>863</v>
      </c>
      <c r="M78" s="7" t="s">
        <v>864</v>
      </c>
      <c r="N78" s="7" t="s">
        <v>792</v>
      </c>
    </row>
    <row r="79" ht="15.75" customHeight="1">
      <c r="A79" s="11" t="s">
        <v>865</v>
      </c>
      <c r="B79" s="11" t="s">
        <v>866</v>
      </c>
      <c r="C79" s="8" t="s">
        <v>9</v>
      </c>
      <c r="D79" s="7" t="s">
        <v>722</v>
      </c>
      <c r="E79" s="7" t="s">
        <v>54</v>
      </c>
      <c r="F79" s="7" t="s">
        <v>867</v>
      </c>
      <c r="G79" s="7" t="s">
        <v>868</v>
      </c>
      <c r="H79" s="7" t="s">
        <v>869</v>
      </c>
      <c r="I79" s="7" t="s">
        <v>870</v>
      </c>
      <c r="J79" s="7" t="s">
        <v>871</v>
      </c>
      <c r="K79" s="7" t="s">
        <v>872</v>
      </c>
      <c r="L79" s="7" t="s">
        <v>873</v>
      </c>
      <c r="M79" s="7" t="s">
        <v>874</v>
      </c>
      <c r="N79" s="7" t="s">
        <v>741</v>
      </c>
    </row>
    <row r="80" ht="15.75" customHeight="1">
      <c r="A80" s="11" t="s">
        <v>875</v>
      </c>
      <c r="B80" s="11" t="s">
        <v>876</v>
      </c>
      <c r="C80" s="9" t="s">
        <v>12</v>
      </c>
      <c r="D80" s="7" t="s">
        <v>722</v>
      </c>
      <c r="E80" s="7" t="s">
        <v>54</v>
      </c>
      <c r="F80" s="7" t="s">
        <v>877</v>
      </c>
      <c r="G80" s="7" t="s">
        <v>878</v>
      </c>
      <c r="H80" s="7" t="s">
        <v>879</v>
      </c>
      <c r="I80" s="7" t="s">
        <v>880</v>
      </c>
      <c r="J80" s="7" t="s">
        <v>881</v>
      </c>
      <c r="K80" s="7" t="s">
        <v>882</v>
      </c>
      <c r="L80" s="7" t="s">
        <v>883</v>
      </c>
      <c r="M80" s="7" t="s">
        <v>884</v>
      </c>
      <c r="N80" s="7" t="s">
        <v>85</v>
      </c>
    </row>
    <row r="81" ht="15.75" customHeight="1">
      <c r="A81" s="11" t="s">
        <v>885</v>
      </c>
      <c r="B81" s="11" t="s">
        <v>886</v>
      </c>
      <c r="C81" s="5" t="s">
        <v>6</v>
      </c>
      <c r="D81" s="7" t="s">
        <v>722</v>
      </c>
      <c r="E81" s="7" t="s">
        <v>54</v>
      </c>
      <c r="F81" s="7" t="s">
        <v>887</v>
      </c>
      <c r="G81" s="7" t="s">
        <v>888</v>
      </c>
      <c r="H81" s="7" t="s">
        <v>889</v>
      </c>
      <c r="I81" s="7" t="s">
        <v>890</v>
      </c>
      <c r="J81" s="7" t="s">
        <v>891</v>
      </c>
      <c r="K81" s="7" t="s">
        <v>892</v>
      </c>
      <c r="L81" s="7" t="s">
        <v>893</v>
      </c>
      <c r="M81" s="7" t="s">
        <v>894</v>
      </c>
      <c r="N81" s="7" t="s">
        <v>247</v>
      </c>
    </row>
    <row r="82" ht="15.75" customHeight="1">
      <c r="A82" s="11" t="s">
        <v>895</v>
      </c>
      <c r="B82" s="11" t="s">
        <v>896</v>
      </c>
      <c r="C82" s="8" t="s">
        <v>9</v>
      </c>
      <c r="D82" s="7" t="s">
        <v>722</v>
      </c>
      <c r="E82" s="7" t="s">
        <v>54</v>
      </c>
      <c r="F82" s="7" t="s">
        <v>897</v>
      </c>
      <c r="G82" s="7" t="s">
        <v>898</v>
      </c>
      <c r="H82" s="7" t="s">
        <v>899</v>
      </c>
      <c r="I82" s="7" t="s">
        <v>900</v>
      </c>
      <c r="J82" s="7" t="s">
        <v>901</v>
      </c>
      <c r="K82" s="7" t="s">
        <v>902</v>
      </c>
      <c r="L82" s="7" t="s">
        <v>903</v>
      </c>
      <c r="M82" s="7" t="s">
        <v>904</v>
      </c>
      <c r="N82" s="7" t="s">
        <v>741</v>
      </c>
    </row>
    <row r="83" ht="15.75" customHeight="1">
      <c r="A83" s="11" t="s">
        <v>905</v>
      </c>
      <c r="B83" s="11" t="s">
        <v>906</v>
      </c>
      <c r="C83" s="5" t="s">
        <v>6</v>
      </c>
      <c r="D83" s="7" t="s">
        <v>722</v>
      </c>
      <c r="E83" s="7" t="s">
        <v>54</v>
      </c>
      <c r="F83" s="7" t="s">
        <v>907</v>
      </c>
      <c r="G83" s="7" t="s">
        <v>908</v>
      </c>
      <c r="H83" s="7" t="s">
        <v>909</v>
      </c>
      <c r="I83" s="7" t="s">
        <v>910</v>
      </c>
      <c r="J83" s="7" t="s">
        <v>911</v>
      </c>
      <c r="K83" s="7" t="s">
        <v>912</v>
      </c>
      <c r="L83" s="7" t="s">
        <v>913</v>
      </c>
      <c r="M83" s="7" t="s">
        <v>914</v>
      </c>
      <c r="N83" s="7" t="s">
        <v>281</v>
      </c>
    </row>
    <row r="84" ht="15.75" customHeight="1">
      <c r="A84" s="11" t="s">
        <v>915</v>
      </c>
      <c r="B84" s="11" t="s">
        <v>916</v>
      </c>
      <c r="C84" s="5" t="s">
        <v>6</v>
      </c>
      <c r="D84" s="7" t="s">
        <v>722</v>
      </c>
      <c r="E84" s="7" t="s">
        <v>54</v>
      </c>
      <c r="F84" s="7" t="s">
        <v>917</v>
      </c>
      <c r="G84" s="7" t="s">
        <v>918</v>
      </c>
      <c r="H84" s="7" t="s">
        <v>919</v>
      </c>
      <c r="I84" s="7" t="s">
        <v>920</v>
      </c>
      <c r="J84" s="7" t="s">
        <v>921</v>
      </c>
      <c r="K84" s="7" t="s">
        <v>922</v>
      </c>
      <c r="L84" s="7" t="s">
        <v>923</v>
      </c>
      <c r="M84" s="7" t="s">
        <v>924</v>
      </c>
      <c r="N84" s="7" t="s">
        <v>270</v>
      </c>
    </row>
    <row r="85" ht="15.75" customHeight="1">
      <c r="A85" s="11" t="s">
        <v>925</v>
      </c>
      <c r="B85" s="11" t="s">
        <v>926</v>
      </c>
      <c r="C85" s="9" t="s">
        <v>12</v>
      </c>
      <c r="D85" s="7" t="s">
        <v>722</v>
      </c>
      <c r="E85" s="7" t="s">
        <v>305</v>
      </c>
      <c r="F85" s="7" t="s">
        <v>927</v>
      </c>
      <c r="G85" s="7" t="s">
        <v>928</v>
      </c>
      <c r="H85" s="7" t="s">
        <v>929</v>
      </c>
      <c r="I85" s="7" t="s">
        <v>930</v>
      </c>
      <c r="J85" s="7" t="s">
        <v>931</v>
      </c>
      <c r="K85" s="7" t="s">
        <v>932</v>
      </c>
      <c r="L85" s="7" t="s">
        <v>933</v>
      </c>
      <c r="M85" s="7" t="s">
        <v>934</v>
      </c>
      <c r="N85" s="7" t="s">
        <v>247</v>
      </c>
    </row>
    <row r="86" ht="15.75" customHeight="1">
      <c r="A86" s="11" t="s">
        <v>935</v>
      </c>
      <c r="B86" s="11" t="s">
        <v>936</v>
      </c>
      <c r="C86" s="8" t="s">
        <v>9</v>
      </c>
      <c r="D86" s="7" t="s">
        <v>937</v>
      </c>
      <c r="E86" s="7" t="s">
        <v>54</v>
      </c>
      <c r="F86" s="7" t="s">
        <v>938</v>
      </c>
      <c r="G86" s="7" t="s">
        <v>939</v>
      </c>
      <c r="H86" s="7" t="s">
        <v>940</v>
      </c>
      <c r="I86" s="7" t="s">
        <v>941</v>
      </c>
      <c r="J86" s="7" t="s">
        <v>942</v>
      </c>
      <c r="K86" s="7" t="s">
        <v>943</v>
      </c>
      <c r="L86" s="7" t="s">
        <v>944</v>
      </c>
      <c r="M86" s="7" t="s">
        <v>945</v>
      </c>
      <c r="N86" s="7" t="s">
        <v>314</v>
      </c>
    </row>
    <row r="87" ht="15.75" customHeight="1">
      <c r="A87" s="11" t="s">
        <v>946</v>
      </c>
      <c r="B87" s="11" t="s">
        <v>947</v>
      </c>
      <c r="C87" s="5" t="s">
        <v>6</v>
      </c>
      <c r="D87" s="7" t="s">
        <v>937</v>
      </c>
      <c r="E87" s="7" t="s">
        <v>54</v>
      </c>
      <c r="F87" s="7" t="s">
        <v>948</v>
      </c>
      <c r="G87" s="7" t="s">
        <v>949</v>
      </c>
      <c r="H87" s="7" t="s">
        <v>950</v>
      </c>
      <c r="I87" s="7" t="s">
        <v>951</v>
      </c>
      <c r="J87" s="7" t="s">
        <v>952</v>
      </c>
      <c r="K87" s="7" t="s">
        <v>953</v>
      </c>
      <c r="L87" s="7" t="s">
        <v>954</v>
      </c>
      <c r="M87" s="7" t="s">
        <v>955</v>
      </c>
      <c r="N87" s="7" t="s">
        <v>417</v>
      </c>
    </row>
    <row r="88" ht="15.75" customHeight="1">
      <c r="A88" s="11" t="s">
        <v>956</v>
      </c>
      <c r="B88" s="11" t="s">
        <v>957</v>
      </c>
      <c r="C88" s="8" t="s">
        <v>9</v>
      </c>
      <c r="D88" s="7" t="s">
        <v>937</v>
      </c>
      <c r="E88" s="7" t="s">
        <v>88</v>
      </c>
      <c r="F88" s="7" t="s">
        <v>958</v>
      </c>
      <c r="G88" s="7" t="s">
        <v>959</v>
      </c>
      <c r="H88" s="7" t="s">
        <v>960</v>
      </c>
      <c r="I88" s="7" t="s">
        <v>961</v>
      </c>
      <c r="J88" s="7" t="s">
        <v>962</v>
      </c>
      <c r="K88" s="7" t="s">
        <v>963</v>
      </c>
      <c r="L88" s="7" t="s">
        <v>964</v>
      </c>
      <c r="M88" s="7" t="s">
        <v>965</v>
      </c>
      <c r="N88" s="7" t="s">
        <v>247</v>
      </c>
    </row>
    <row r="89" ht="15.75" customHeight="1">
      <c r="A89" s="11" t="s">
        <v>966</v>
      </c>
      <c r="B89" s="11" t="s">
        <v>967</v>
      </c>
      <c r="C89" s="8" t="s">
        <v>9</v>
      </c>
      <c r="D89" s="7" t="s">
        <v>937</v>
      </c>
      <c r="E89" s="7" t="s">
        <v>54</v>
      </c>
      <c r="F89" s="7" t="s">
        <v>968</v>
      </c>
      <c r="G89" s="7" t="s">
        <v>969</v>
      </c>
      <c r="H89" s="7" t="s">
        <v>970</v>
      </c>
      <c r="I89" s="7" t="s">
        <v>971</v>
      </c>
      <c r="J89" s="7" t="s">
        <v>972</v>
      </c>
      <c r="K89" s="7" t="s">
        <v>973</v>
      </c>
      <c r="L89" s="7" t="s">
        <v>974</v>
      </c>
      <c r="M89" s="7" t="s">
        <v>975</v>
      </c>
      <c r="N89" s="7" t="s">
        <v>247</v>
      </c>
    </row>
    <row r="90" ht="15.75" customHeight="1">
      <c r="A90" s="11" t="s">
        <v>976</v>
      </c>
      <c r="B90" s="11" t="s">
        <v>977</v>
      </c>
      <c r="C90" s="5" t="s">
        <v>6</v>
      </c>
      <c r="D90" s="7" t="s">
        <v>937</v>
      </c>
      <c r="E90" s="7" t="s">
        <v>54</v>
      </c>
      <c r="F90" s="7" t="s">
        <v>978</v>
      </c>
      <c r="G90" s="7" t="s">
        <v>979</v>
      </c>
      <c r="H90" s="7" t="s">
        <v>980</v>
      </c>
      <c r="I90" s="7" t="s">
        <v>981</v>
      </c>
      <c r="J90" s="7" t="s">
        <v>982</v>
      </c>
      <c r="K90" s="7" t="s">
        <v>983</v>
      </c>
      <c r="L90" s="7" t="s">
        <v>984</v>
      </c>
      <c r="M90" s="7" t="s">
        <v>985</v>
      </c>
      <c r="N90" s="7" t="s">
        <v>247</v>
      </c>
    </row>
    <row r="91" ht="15.75" customHeight="1">
      <c r="A91" s="11" t="s">
        <v>986</v>
      </c>
      <c r="B91" s="11" t="s">
        <v>987</v>
      </c>
      <c r="C91" s="8" t="s">
        <v>9</v>
      </c>
      <c r="D91" s="7" t="s">
        <v>937</v>
      </c>
      <c r="E91" s="7" t="s">
        <v>54</v>
      </c>
      <c r="F91" s="7" t="s">
        <v>988</v>
      </c>
      <c r="G91" s="7" t="s">
        <v>989</v>
      </c>
      <c r="H91" s="7" t="s">
        <v>990</v>
      </c>
      <c r="I91" s="7" t="s">
        <v>991</v>
      </c>
      <c r="J91" s="7" t="s">
        <v>992</v>
      </c>
      <c r="K91" s="7" t="s">
        <v>993</v>
      </c>
      <c r="L91" s="7" t="s">
        <v>994</v>
      </c>
      <c r="M91" s="7" t="s">
        <v>995</v>
      </c>
      <c r="N91" s="7" t="s">
        <v>247</v>
      </c>
    </row>
    <row r="92" ht="15.75" customHeight="1">
      <c r="A92" s="11" t="s">
        <v>996</v>
      </c>
      <c r="B92" s="11" t="s">
        <v>997</v>
      </c>
      <c r="C92" s="5" t="s">
        <v>6</v>
      </c>
      <c r="D92" s="7" t="s">
        <v>937</v>
      </c>
      <c r="E92" s="7" t="s">
        <v>88</v>
      </c>
      <c r="F92" s="7" t="s">
        <v>998</v>
      </c>
      <c r="G92" s="7" t="s">
        <v>999</v>
      </c>
      <c r="H92" s="7" t="s">
        <v>1000</v>
      </c>
      <c r="I92" s="7" t="s">
        <v>1001</v>
      </c>
      <c r="J92" s="7" t="s">
        <v>1002</v>
      </c>
      <c r="K92" s="7" t="s">
        <v>1003</v>
      </c>
      <c r="L92" s="7" t="s">
        <v>1004</v>
      </c>
      <c r="M92" s="7" t="s">
        <v>1005</v>
      </c>
      <c r="N92" s="7" t="s">
        <v>741</v>
      </c>
    </row>
    <row r="93" ht="15.75" customHeight="1">
      <c r="A93" s="11" t="s">
        <v>1006</v>
      </c>
      <c r="B93" s="11" t="s">
        <v>1007</v>
      </c>
      <c r="C93" s="5" t="s">
        <v>6</v>
      </c>
      <c r="D93" s="7" t="s">
        <v>937</v>
      </c>
      <c r="E93" s="7" t="s">
        <v>88</v>
      </c>
      <c r="F93" s="7" t="s">
        <v>1008</v>
      </c>
      <c r="G93" s="7" t="s">
        <v>1009</v>
      </c>
      <c r="H93" s="7" t="s">
        <v>1010</v>
      </c>
      <c r="I93" s="7" t="s">
        <v>1011</v>
      </c>
      <c r="J93" s="7" t="s">
        <v>1012</v>
      </c>
      <c r="K93" s="7" t="s">
        <v>1013</v>
      </c>
      <c r="L93" s="7" t="s">
        <v>1014</v>
      </c>
      <c r="M93" s="7" t="s">
        <v>1015</v>
      </c>
      <c r="N93" s="7" t="s">
        <v>1016</v>
      </c>
    </row>
    <row r="94" ht="15.75" customHeight="1">
      <c r="A94" s="11" t="s">
        <v>1017</v>
      </c>
      <c r="B94" s="11" t="s">
        <v>1018</v>
      </c>
      <c r="C94" s="5" t="s">
        <v>6</v>
      </c>
      <c r="D94" s="7" t="s">
        <v>937</v>
      </c>
      <c r="E94" s="7" t="s">
        <v>54</v>
      </c>
      <c r="F94" s="7" t="s">
        <v>1019</v>
      </c>
      <c r="G94" s="7" t="s">
        <v>1020</v>
      </c>
      <c r="H94" s="7" t="s">
        <v>1021</v>
      </c>
      <c r="I94" s="7" t="s">
        <v>1022</v>
      </c>
      <c r="J94" s="7" t="s">
        <v>1023</v>
      </c>
      <c r="K94" s="7" t="s">
        <v>1024</v>
      </c>
      <c r="L94" s="7" t="s">
        <v>1025</v>
      </c>
      <c r="M94" s="7" t="s">
        <v>1026</v>
      </c>
      <c r="N94" s="7" t="s">
        <v>85</v>
      </c>
    </row>
    <row r="95" ht="15.75" customHeight="1">
      <c r="A95" s="11" t="s">
        <v>1027</v>
      </c>
      <c r="B95" s="11" t="s">
        <v>1028</v>
      </c>
      <c r="C95" s="9" t="s">
        <v>12</v>
      </c>
      <c r="D95" s="7" t="s">
        <v>937</v>
      </c>
      <c r="E95" s="7" t="s">
        <v>54</v>
      </c>
      <c r="F95" s="7" t="s">
        <v>1029</v>
      </c>
      <c r="G95" s="7" t="s">
        <v>1030</v>
      </c>
      <c r="H95" s="7" t="s">
        <v>1031</v>
      </c>
      <c r="I95" s="7" t="s">
        <v>1032</v>
      </c>
      <c r="J95" s="7" t="s">
        <v>1033</v>
      </c>
      <c r="K95" s="7" t="s">
        <v>1034</v>
      </c>
      <c r="L95" s="7" t="s">
        <v>1035</v>
      </c>
      <c r="M95" s="7" t="s">
        <v>1036</v>
      </c>
      <c r="N95" s="7" t="s">
        <v>85</v>
      </c>
    </row>
    <row r="96" ht="15.75" customHeight="1">
      <c r="A96" s="11" t="s">
        <v>1037</v>
      </c>
      <c r="B96" s="11" t="s">
        <v>1038</v>
      </c>
      <c r="C96" s="8" t="s">
        <v>9</v>
      </c>
      <c r="D96" s="7" t="s">
        <v>937</v>
      </c>
      <c r="E96" s="7" t="s">
        <v>54</v>
      </c>
      <c r="F96" s="7" t="s">
        <v>1039</v>
      </c>
      <c r="G96" s="7" t="s">
        <v>1040</v>
      </c>
      <c r="H96" s="7" t="s">
        <v>1041</v>
      </c>
      <c r="I96" s="7" t="s">
        <v>1042</v>
      </c>
      <c r="J96" s="7" t="s">
        <v>1043</v>
      </c>
      <c r="K96" s="7" t="s">
        <v>1044</v>
      </c>
      <c r="L96" s="7" t="s">
        <v>1045</v>
      </c>
      <c r="M96" s="7" t="s">
        <v>1046</v>
      </c>
      <c r="N96" s="7" t="s">
        <v>565</v>
      </c>
    </row>
    <row r="97" ht="15.75" customHeight="1">
      <c r="A97" s="11" t="s">
        <v>1047</v>
      </c>
      <c r="B97" s="11" t="s">
        <v>1048</v>
      </c>
      <c r="C97" s="9" t="s">
        <v>12</v>
      </c>
      <c r="D97" s="7" t="s">
        <v>937</v>
      </c>
      <c r="E97" s="7" t="s">
        <v>845</v>
      </c>
      <c r="F97" s="7" t="s">
        <v>1049</v>
      </c>
      <c r="G97" s="7" t="s">
        <v>1050</v>
      </c>
      <c r="H97" s="7" t="s">
        <v>1051</v>
      </c>
      <c r="I97" s="7" t="s">
        <v>1052</v>
      </c>
      <c r="J97" s="7" t="s">
        <v>1053</v>
      </c>
      <c r="K97" s="7" t="s">
        <v>1054</v>
      </c>
      <c r="L97" s="7" t="s">
        <v>1055</v>
      </c>
      <c r="M97" s="7" t="s">
        <v>1056</v>
      </c>
      <c r="N97" s="7" t="s">
        <v>172</v>
      </c>
    </row>
    <row r="98" ht="15.75" customHeight="1">
      <c r="A98" s="11" t="s">
        <v>1057</v>
      </c>
      <c r="B98" s="11" t="s">
        <v>1058</v>
      </c>
      <c r="C98" s="9" t="s">
        <v>12</v>
      </c>
      <c r="D98" s="7" t="s">
        <v>937</v>
      </c>
      <c r="E98" s="7" t="s">
        <v>88</v>
      </c>
      <c r="F98" s="7" t="s">
        <v>1059</v>
      </c>
      <c r="G98" s="7" t="s">
        <v>1060</v>
      </c>
      <c r="H98" s="7" t="s">
        <v>1061</v>
      </c>
      <c r="I98" s="7" t="s">
        <v>1062</v>
      </c>
      <c r="J98" s="7" t="s">
        <v>1063</v>
      </c>
      <c r="K98" s="7" t="s">
        <v>1064</v>
      </c>
      <c r="L98" s="7" t="s">
        <v>1065</v>
      </c>
      <c r="M98" s="7" t="s">
        <v>1066</v>
      </c>
      <c r="N98" s="7" t="s">
        <v>74</v>
      </c>
    </row>
    <row r="99" ht="15.75" customHeight="1">
      <c r="A99" s="11" t="s">
        <v>1067</v>
      </c>
      <c r="B99" s="11" t="s">
        <v>1068</v>
      </c>
      <c r="C99" s="5" t="s">
        <v>6</v>
      </c>
      <c r="D99" s="7" t="s">
        <v>937</v>
      </c>
      <c r="E99" s="7" t="s">
        <v>54</v>
      </c>
      <c r="F99" s="7" t="s">
        <v>1069</v>
      </c>
      <c r="G99" s="7" t="s">
        <v>1070</v>
      </c>
      <c r="H99" s="7" t="s">
        <v>1071</v>
      </c>
      <c r="I99" s="7" t="s">
        <v>1072</v>
      </c>
      <c r="J99" s="7" t="s">
        <v>1073</v>
      </c>
      <c r="K99" s="7" t="s">
        <v>1074</v>
      </c>
      <c r="L99" s="7" t="s">
        <v>1075</v>
      </c>
      <c r="M99" s="7" t="s">
        <v>1076</v>
      </c>
      <c r="N99" s="7" t="s">
        <v>74</v>
      </c>
    </row>
    <row r="100" ht="15.75" customHeight="1">
      <c r="A100" s="11" t="s">
        <v>1077</v>
      </c>
      <c r="B100" s="11" t="s">
        <v>1078</v>
      </c>
      <c r="C100" s="8" t="s">
        <v>9</v>
      </c>
      <c r="D100" s="7" t="s">
        <v>937</v>
      </c>
      <c r="E100" s="7" t="s">
        <v>54</v>
      </c>
      <c r="F100" s="7" t="s">
        <v>1079</v>
      </c>
      <c r="G100" s="7" t="s">
        <v>1080</v>
      </c>
      <c r="H100" s="7" t="s">
        <v>1081</v>
      </c>
      <c r="I100" s="7" t="s">
        <v>1082</v>
      </c>
      <c r="J100" s="7" t="s">
        <v>1083</v>
      </c>
      <c r="K100" s="7" t="s">
        <v>1084</v>
      </c>
      <c r="L100" s="7" t="s">
        <v>1085</v>
      </c>
      <c r="M100" s="7" t="s">
        <v>1086</v>
      </c>
      <c r="N100" s="7" t="s">
        <v>270</v>
      </c>
    </row>
    <row r="101" ht="15.75" customHeight="1">
      <c r="A101" s="11" t="s">
        <v>1087</v>
      </c>
      <c r="B101" s="11" t="s">
        <v>1088</v>
      </c>
      <c r="C101" s="5" t="s">
        <v>6</v>
      </c>
      <c r="D101" s="7" t="s">
        <v>937</v>
      </c>
      <c r="E101" s="7" t="s">
        <v>54</v>
      </c>
      <c r="F101" s="7" t="s">
        <v>1089</v>
      </c>
      <c r="G101" s="7" t="s">
        <v>1090</v>
      </c>
      <c r="H101" s="7" t="s">
        <v>1091</v>
      </c>
      <c r="I101" s="7" t="s">
        <v>1092</v>
      </c>
      <c r="J101" s="7" t="s">
        <v>1093</v>
      </c>
      <c r="K101" s="7" t="s">
        <v>1094</v>
      </c>
      <c r="L101" s="7" t="s">
        <v>1095</v>
      </c>
      <c r="M101" s="7" t="s">
        <v>1096</v>
      </c>
      <c r="N101" s="7" t="s">
        <v>1097</v>
      </c>
    </row>
    <row r="102" ht="15.75" customHeight="1">
      <c r="A102" s="11" t="s">
        <v>1098</v>
      </c>
      <c r="B102" s="11" t="s">
        <v>1099</v>
      </c>
      <c r="C102" s="8" t="s">
        <v>9</v>
      </c>
      <c r="D102" s="7" t="s">
        <v>937</v>
      </c>
      <c r="E102" s="7" t="s">
        <v>54</v>
      </c>
      <c r="F102" s="7" t="s">
        <v>1100</v>
      </c>
      <c r="G102" s="7" t="s">
        <v>1101</v>
      </c>
      <c r="H102" s="7" t="s">
        <v>1102</v>
      </c>
      <c r="I102" s="7" t="s">
        <v>1103</v>
      </c>
      <c r="J102" s="7" t="s">
        <v>1104</v>
      </c>
      <c r="K102" s="7" t="s">
        <v>1105</v>
      </c>
      <c r="L102" s="7" t="s">
        <v>1106</v>
      </c>
      <c r="M102" s="7" t="s">
        <v>1107</v>
      </c>
      <c r="N102" s="7" t="s">
        <v>646</v>
      </c>
    </row>
    <row r="103" ht="15.75" customHeight="1">
      <c r="A103" s="11" t="s">
        <v>1108</v>
      </c>
      <c r="B103" s="11" t="s">
        <v>1109</v>
      </c>
      <c r="C103" s="5" t="s">
        <v>6</v>
      </c>
      <c r="D103" s="7" t="s">
        <v>937</v>
      </c>
      <c r="E103" s="7" t="s">
        <v>261</v>
      </c>
      <c r="F103" s="7" t="s">
        <v>1110</v>
      </c>
      <c r="G103" s="7" t="s">
        <v>1111</v>
      </c>
      <c r="H103" s="7" t="s">
        <v>1112</v>
      </c>
      <c r="I103" s="7" t="s">
        <v>1113</v>
      </c>
      <c r="J103" s="7" t="s">
        <v>1114</v>
      </c>
      <c r="K103" s="7" t="s">
        <v>1115</v>
      </c>
      <c r="L103" s="7" t="s">
        <v>1116</v>
      </c>
      <c r="M103" s="7" t="s">
        <v>1117</v>
      </c>
      <c r="N103" s="7" t="s">
        <v>74</v>
      </c>
    </row>
    <row r="104" ht="15.75" customHeight="1">
      <c r="A104" s="11" t="s">
        <v>1118</v>
      </c>
      <c r="B104" s="11" t="s">
        <v>1119</v>
      </c>
      <c r="C104" s="8" t="s">
        <v>9</v>
      </c>
      <c r="D104" s="7" t="s">
        <v>937</v>
      </c>
      <c r="E104" s="7" t="s">
        <v>141</v>
      </c>
      <c r="F104" s="7" t="s">
        <v>1120</v>
      </c>
      <c r="G104" s="7" t="s">
        <v>1121</v>
      </c>
      <c r="H104" s="7" t="s">
        <v>1122</v>
      </c>
      <c r="I104" s="7" t="s">
        <v>1123</v>
      </c>
      <c r="J104" s="7" t="s">
        <v>1124</v>
      </c>
      <c r="K104" s="7" t="s">
        <v>1125</v>
      </c>
      <c r="L104" s="7" t="s">
        <v>1126</v>
      </c>
      <c r="M104" s="7" t="s">
        <v>1127</v>
      </c>
      <c r="N104" s="7" t="s">
        <v>678</v>
      </c>
    </row>
    <row r="105" ht="15.75" customHeight="1">
      <c r="A105" s="11" t="s">
        <v>1128</v>
      </c>
      <c r="B105" s="11" t="s">
        <v>1129</v>
      </c>
      <c r="C105" s="9" t="s">
        <v>12</v>
      </c>
      <c r="D105" s="7" t="s">
        <v>937</v>
      </c>
      <c r="E105" s="7" t="s">
        <v>261</v>
      </c>
      <c r="F105" s="7" t="s">
        <v>1130</v>
      </c>
      <c r="G105" s="7" t="s">
        <v>1131</v>
      </c>
      <c r="H105" s="7" t="s">
        <v>1132</v>
      </c>
      <c r="I105" s="7" t="s">
        <v>1133</v>
      </c>
      <c r="J105" s="7" t="s">
        <v>1134</v>
      </c>
      <c r="K105" s="7" t="s">
        <v>1135</v>
      </c>
      <c r="L105" s="7" t="s">
        <v>1136</v>
      </c>
      <c r="M105" s="7" t="s">
        <v>1137</v>
      </c>
      <c r="N105" s="7" t="s">
        <v>741</v>
      </c>
    </row>
    <row r="106" ht="15.75" customHeight="1">
      <c r="A106" s="11" t="s">
        <v>1138</v>
      </c>
      <c r="B106" s="11" t="s">
        <v>1139</v>
      </c>
      <c r="C106" s="9" t="s">
        <v>12</v>
      </c>
      <c r="D106" s="7" t="s">
        <v>937</v>
      </c>
      <c r="E106" s="7" t="s">
        <v>88</v>
      </c>
      <c r="F106" s="7" t="s">
        <v>1140</v>
      </c>
      <c r="G106" s="7" t="s">
        <v>1141</v>
      </c>
      <c r="H106" s="7" t="s">
        <v>1142</v>
      </c>
      <c r="I106" s="7" t="s">
        <v>1143</v>
      </c>
      <c r="J106" s="7" t="s">
        <v>1144</v>
      </c>
      <c r="K106" s="7" t="s">
        <v>1145</v>
      </c>
      <c r="L106" s="7" t="s">
        <v>1146</v>
      </c>
      <c r="M106" s="7" t="s">
        <v>1147</v>
      </c>
      <c r="N106" s="7" t="s">
        <v>247</v>
      </c>
    </row>
    <row r="107" ht="15.75" customHeight="1">
      <c r="A107" s="11" t="s">
        <v>1148</v>
      </c>
      <c r="B107" s="11" t="s">
        <v>1149</v>
      </c>
      <c r="C107" s="8" t="s">
        <v>9</v>
      </c>
      <c r="D107" s="7" t="s">
        <v>1150</v>
      </c>
      <c r="E107" s="7" t="s">
        <v>54</v>
      </c>
      <c r="F107" s="7" t="s">
        <v>1151</v>
      </c>
      <c r="G107" s="7" t="s">
        <v>1152</v>
      </c>
      <c r="H107" s="7" t="s">
        <v>1153</v>
      </c>
      <c r="I107" s="7" t="s">
        <v>1154</v>
      </c>
      <c r="J107" s="7" t="s">
        <v>1155</v>
      </c>
      <c r="K107" s="7" t="s">
        <v>1156</v>
      </c>
      <c r="L107" s="7" t="s">
        <v>1157</v>
      </c>
      <c r="M107" s="7" t="s">
        <v>1158</v>
      </c>
      <c r="N107" s="7" t="s">
        <v>85</v>
      </c>
    </row>
    <row r="108" ht="15.75" customHeight="1">
      <c r="A108" s="11" t="s">
        <v>1159</v>
      </c>
      <c r="B108" s="11" t="s">
        <v>1160</v>
      </c>
      <c r="C108" s="8" t="s">
        <v>9</v>
      </c>
      <c r="D108" s="7" t="s">
        <v>1150</v>
      </c>
      <c r="E108" s="7" t="s">
        <v>358</v>
      </c>
      <c r="F108" s="7" t="s">
        <v>1161</v>
      </c>
      <c r="G108" s="7" t="s">
        <v>1162</v>
      </c>
      <c r="H108" s="7" t="s">
        <v>1163</v>
      </c>
      <c r="I108" s="7" t="s">
        <v>1164</v>
      </c>
      <c r="J108" s="7" t="s">
        <v>1165</v>
      </c>
      <c r="K108" s="7" t="s">
        <v>1166</v>
      </c>
      <c r="L108" s="7" t="s">
        <v>1167</v>
      </c>
      <c r="M108" s="7" t="s">
        <v>1168</v>
      </c>
      <c r="N108" s="7" t="s">
        <v>448</v>
      </c>
    </row>
    <row r="109" ht="15.75" customHeight="1">
      <c r="A109" s="11" t="s">
        <v>1169</v>
      </c>
      <c r="B109" s="11" t="s">
        <v>1170</v>
      </c>
      <c r="C109" s="9" t="s">
        <v>12</v>
      </c>
      <c r="D109" s="7" t="s">
        <v>1150</v>
      </c>
      <c r="E109" s="7" t="s">
        <v>141</v>
      </c>
      <c r="F109" s="7" t="s">
        <v>1171</v>
      </c>
      <c r="G109" s="7" t="s">
        <v>1172</v>
      </c>
      <c r="H109" s="7" t="s">
        <v>1173</v>
      </c>
      <c r="I109" s="7" t="s">
        <v>1174</v>
      </c>
      <c r="J109" s="7" t="s">
        <v>1175</v>
      </c>
      <c r="K109" s="7" t="s">
        <v>1176</v>
      </c>
      <c r="L109" s="7" t="s">
        <v>1177</v>
      </c>
      <c r="M109" s="7" t="s">
        <v>1178</v>
      </c>
      <c r="N109" s="7" t="s">
        <v>74</v>
      </c>
    </row>
    <row r="110" ht="15.75" customHeight="1">
      <c r="A110" s="11" t="s">
        <v>1179</v>
      </c>
      <c r="B110" s="11" t="s">
        <v>1180</v>
      </c>
      <c r="C110" s="9" t="s">
        <v>12</v>
      </c>
      <c r="D110" s="7" t="s">
        <v>1150</v>
      </c>
      <c r="E110" s="7" t="s">
        <v>305</v>
      </c>
      <c r="F110" s="7" t="s">
        <v>1181</v>
      </c>
      <c r="G110" s="7" t="s">
        <v>1182</v>
      </c>
      <c r="H110" s="7" t="s">
        <v>1183</v>
      </c>
      <c r="I110" s="7" t="s">
        <v>1184</v>
      </c>
      <c r="J110" s="7" t="s">
        <v>1185</v>
      </c>
      <c r="K110" s="7" t="s">
        <v>1186</v>
      </c>
      <c r="L110" s="7" t="s">
        <v>1187</v>
      </c>
      <c r="M110" s="7" t="s">
        <v>1188</v>
      </c>
      <c r="N110" s="7" t="s">
        <v>741</v>
      </c>
    </row>
    <row r="111" ht="15.75" customHeight="1">
      <c r="A111" s="11" t="s">
        <v>1189</v>
      </c>
      <c r="B111" s="11" t="s">
        <v>1190</v>
      </c>
      <c r="C111" s="10" t="s">
        <v>15</v>
      </c>
      <c r="D111" s="7" t="s">
        <v>1150</v>
      </c>
      <c r="E111" s="7" t="s">
        <v>175</v>
      </c>
      <c r="F111" s="7" t="s">
        <v>1191</v>
      </c>
      <c r="G111" s="7" t="s">
        <v>1192</v>
      </c>
      <c r="H111" s="7" t="s">
        <v>1193</v>
      </c>
      <c r="I111" s="7" t="s">
        <v>1194</v>
      </c>
      <c r="J111" s="7" t="s">
        <v>1195</v>
      </c>
      <c r="K111" s="7" t="s">
        <v>1196</v>
      </c>
      <c r="L111" s="7" t="s">
        <v>1197</v>
      </c>
      <c r="M111" s="7" t="s">
        <v>1198</v>
      </c>
      <c r="N111" s="7" t="s">
        <v>1199</v>
      </c>
    </row>
    <row r="112" ht="15.75" customHeight="1">
      <c r="A112" s="11" t="s">
        <v>1200</v>
      </c>
      <c r="B112" s="11" t="s">
        <v>1201</v>
      </c>
      <c r="C112" s="8" t="s">
        <v>9</v>
      </c>
      <c r="D112" s="7" t="s">
        <v>1150</v>
      </c>
      <c r="E112" s="7" t="s">
        <v>141</v>
      </c>
      <c r="F112" s="7" t="s">
        <v>1202</v>
      </c>
      <c r="G112" s="7" t="s">
        <v>1203</v>
      </c>
      <c r="H112" s="7" t="s">
        <v>1204</v>
      </c>
      <c r="I112" s="7" t="s">
        <v>1205</v>
      </c>
      <c r="J112" s="7" t="s">
        <v>1206</v>
      </c>
      <c r="K112" s="7" t="s">
        <v>1207</v>
      </c>
      <c r="L112" s="7" t="s">
        <v>1208</v>
      </c>
      <c r="M112" s="7" t="s">
        <v>1209</v>
      </c>
      <c r="N112" s="7" t="s">
        <v>184</v>
      </c>
    </row>
    <row r="113" ht="15.75" customHeight="1">
      <c r="A113" s="11" t="s">
        <v>1210</v>
      </c>
      <c r="B113" s="11" t="s">
        <v>1211</v>
      </c>
      <c r="C113" s="5" t="s">
        <v>6</v>
      </c>
      <c r="D113" s="7" t="s">
        <v>1150</v>
      </c>
      <c r="E113" s="7" t="s">
        <v>54</v>
      </c>
      <c r="F113" s="7" t="s">
        <v>1212</v>
      </c>
      <c r="G113" s="7" t="s">
        <v>1213</v>
      </c>
      <c r="H113" s="7" t="s">
        <v>1214</v>
      </c>
      <c r="I113" s="7" t="s">
        <v>1215</v>
      </c>
      <c r="J113" s="7" t="s">
        <v>1216</v>
      </c>
      <c r="K113" s="7" t="s">
        <v>1217</v>
      </c>
      <c r="L113" s="7" t="s">
        <v>1218</v>
      </c>
      <c r="M113" s="7" t="s">
        <v>1219</v>
      </c>
      <c r="N113" s="7" t="s">
        <v>161</v>
      </c>
    </row>
    <row r="114" ht="15.75" customHeight="1">
      <c r="A114" s="11" t="s">
        <v>1220</v>
      </c>
      <c r="B114" s="11" t="s">
        <v>1221</v>
      </c>
      <c r="C114" s="8" t="s">
        <v>9</v>
      </c>
      <c r="D114" s="7" t="s">
        <v>1150</v>
      </c>
      <c r="E114" s="7" t="s">
        <v>54</v>
      </c>
      <c r="F114" s="7" t="s">
        <v>1222</v>
      </c>
      <c r="G114" s="7" t="s">
        <v>1223</v>
      </c>
      <c r="H114" s="7" t="s">
        <v>1224</v>
      </c>
      <c r="I114" s="7" t="s">
        <v>1225</v>
      </c>
      <c r="J114" s="7" t="s">
        <v>1226</v>
      </c>
      <c r="K114" s="7" t="s">
        <v>1227</v>
      </c>
      <c r="L114" s="7" t="s">
        <v>1228</v>
      </c>
      <c r="M114" s="7" t="s">
        <v>1229</v>
      </c>
      <c r="N114" s="7" t="s">
        <v>501</v>
      </c>
    </row>
    <row r="115" ht="15.75" customHeight="1">
      <c r="A115" s="11" t="s">
        <v>1230</v>
      </c>
      <c r="B115" s="11" t="s">
        <v>1231</v>
      </c>
      <c r="C115" s="8" t="s">
        <v>9</v>
      </c>
      <c r="D115" s="7" t="s">
        <v>1150</v>
      </c>
      <c r="E115" s="7" t="s">
        <v>54</v>
      </c>
      <c r="F115" s="7" t="s">
        <v>1232</v>
      </c>
      <c r="G115" s="7" t="s">
        <v>1233</v>
      </c>
      <c r="H115" s="7" t="s">
        <v>1234</v>
      </c>
      <c r="I115" s="7" t="s">
        <v>1235</v>
      </c>
      <c r="J115" s="7" t="s">
        <v>1236</v>
      </c>
      <c r="K115" s="7" t="s">
        <v>1237</v>
      </c>
      <c r="L115" s="7" t="s">
        <v>1238</v>
      </c>
      <c r="M115" s="7" t="s">
        <v>1239</v>
      </c>
      <c r="N115" s="7" t="s">
        <v>1240</v>
      </c>
    </row>
    <row r="116" ht="15.75" customHeight="1">
      <c r="A116" s="11" t="s">
        <v>1241</v>
      </c>
      <c r="B116" s="11" t="s">
        <v>1242</v>
      </c>
      <c r="C116" s="9" t="s">
        <v>12</v>
      </c>
      <c r="D116" s="7" t="s">
        <v>1150</v>
      </c>
      <c r="E116" s="7" t="s">
        <v>175</v>
      </c>
      <c r="F116" s="7" t="s">
        <v>1243</v>
      </c>
      <c r="G116" s="7" t="s">
        <v>1244</v>
      </c>
      <c r="H116" s="7" t="s">
        <v>1245</v>
      </c>
      <c r="I116" s="7" t="s">
        <v>1246</v>
      </c>
      <c r="J116" s="7" t="s">
        <v>1247</v>
      </c>
      <c r="K116" s="7" t="s">
        <v>1248</v>
      </c>
      <c r="L116" s="7" t="s">
        <v>1249</v>
      </c>
      <c r="M116" s="7" t="s">
        <v>1250</v>
      </c>
      <c r="N116" s="7" t="s">
        <v>335</v>
      </c>
    </row>
    <row r="117" ht="15.75" customHeight="1">
      <c r="A117" s="11" t="s">
        <v>1251</v>
      </c>
      <c r="B117" s="11" t="s">
        <v>1252</v>
      </c>
      <c r="C117" s="8" t="s">
        <v>9</v>
      </c>
      <c r="D117" s="7" t="s">
        <v>1150</v>
      </c>
      <c r="E117" s="7" t="s">
        <v>54</v>
      </c>
      <c r="F117" s="7" t="s">
        <v>1253</v>
      </c>
      <c r="G117" s="7" t="s">
        <v>1254</v>
      </c>
      <c r="H117" s="7" t="s">
        <v>1255</v>
      </c>
      <c r="I117" s="7" t="s">
        <v>1256</v>
      </c>
      <c r="J117" s="7" t="s">
        <v>1257</v>
      </c>
      <c r="K117" s="7" t="s">
        <v>1258</v>
      </c>
      <c r="L117" s="7" t="s">
        <v>1259</v>
      </c>
      <c r="M117" s="7" t="s">
        <v>1260</v>
      </c>
      <c r="N117" s="7" t="s">
        <v>74</v>
      </c>
    </row>
    <row r="118" ht="15.75" customHeight="1">
      <c r="A118" s="11" t="s">
        <v>1261</v>
      </c>
      <c r="B118" s="11" t="s">
        <v>1262</v>
      </c>
      <c r="C118" s="5" t="s">
        <v>6</v>
      </c>
      <c r="D118" s="7" t="s">
        <v>1150</v>
      </c>
      <c r="E118" s="7" t="s">
        <v>54</v>
      </c>
      <c r="F118" s="7" t="s">
        <v>1263</v>
      </c>
      <c r="G118" s="7" t="s">
        <v>1264</v>
      </c>
      <c r="H118" s="7" t="s">
        <v>1265</v>
      </c>
      <c r="I118" s="7" t="s">
        <v>1266</v>
      </c>
      <c r="J118" s="7" t="s">
        <v>1267</v>
      </c>
      <c r="K118" s="7" t="s">
        <v>1268</v>
      </c>
      <c r="L118" s="7" t="s">
        <v>1269</v>
      </c>
      <c r="M118" s="7" t="s">
        <v>1270</v>
      </c>
      <c r="N118" s="7" t="s">
        <v>741</v>
      </c>
    </row>
    <row r="119" ht="15.75" customHeight="1">
      <c r="A119" s="11" t="s">
        <v>1271</v>
      </c>
      <c r="B119" s="11" t="s">
        <v>1272</v>
      </c>
      <c r="C119" s="8" t="s">
        <v>9</v>
      </c>
      <c r="D119" s="7" t="s">
        <v>1150</v>
      </c>
      <c r="E119" s="7" t="s">
        <v>54</v>
      </c>
      <c r="F119" s="7" t="s">
        <v>1273</v>
      </c>
      <c r="G119" s="7" t="s">
        <v>1274</v>
      </c>
      <c r="H119" s="7" t="s">
        <v>1275</v>
      </c>
      <c r="I119" s="7" t="s">
        <v>1276</v>
      </c>
      <c r="J119" s="7" t="s">
        <v>1277</v>
      </c>
      <c r="K119" s="7" t="s">
        <v>1278</v>
      </c>
      <c r="L119" s="7" t="s">
        <v>1279</v>
      </c>
      <c r="M119" s="7" t="s">
        <v>1280</v>
      </c>
      <c r="N119" s="7" t="s">
        <v>184</v>
      </c>
    </row>
    <row r="120" ht="15.75" customHeight="1">
      <c r="A120" s="11" t="s">
        <v>1281</v>
      </c>
      <c r="B120" s="11" t="s">
        <v>1282</v>
      </c>
      <c r="C120" s="8" t="s">
        <v>9</v>
      </c>
      <c r="D120" s="7" t="s">
        <v>1150</v>
      </c>
      <c r="E120" s="7" t="s">
        <v>358</v>
      </c>
      <c r="F120" s="7" t="s">
        <v>1283</v>
      </c>
      <c r="G120" s="7" t="s">
        <v>1284</v>
      </c>
      <c r="H120" s="7" t="s">
        <v>1285</v>
      </c>
      <c r="I120" s="7" t="s">
        <v>1286</v>
      </c>
      <c r="J120" s="7" t="s">
        <v>1287</v>
      </c>
      <c r="K120" s="7" t="s">
        <v>1288</v>
      </c>
      <c r="L120" s="7" t="s">
        <v>1289</v>
      </c>
      <c r="M120" s="7" t="s">
        <v>1290</v>
      </c>
      <c r="N120" s="7" t="s">
        <v>448</v>
      </c>
    </row>
    <row r="121" ht="15.75" customHeight="1">
      <c r="A121" s="11" t="s">
        <v>1291</v>
      </c>
      <c r="B121" s="11" t="s">
        <v>1292</v>
      </c>
      <c r="C121" s="8" t="s">
        <v>9</v>
      </c>
      <c r="D121" s="7" t="s">
        <v>1150</v>
      </c>
      <c r="E121" s="7" t="s">
        <v>54</v>
      </c>
      <c r="F121" s="7" t="s">
        <v>1293</v>
      </c>
      <c r="G121" s="7" t="s">
        <v>1294</v>
      </c>
      <c r="H121" s="7" t="s">
        <v>1295</v>
      </c>
      <c r="I121" s="7" t="s">
        <v>1296</v>
      </c>
      <c r="J121" s="7" t="s">
        <v>1297</v>
      </c>
      <c r="K121" s="7" t="s">
        <v>1298</v>
      </c>
      <c r="L121" s="7" t="s">
        <v>1299</v>
      </c>
      <c r="M121" s="7" t="s">
        <v>1300</v>
      </c>
      <c r="N121" s="7" t="s">
        <v>741</v>
      </c>
    </row>
    <row r="122" ht="15.75" customHeight="1">
      <c r="A122" s="11" t="s">
        <v>1301</v>
      </c>
      <c r="B122" s="11" t="s">
        <v>1302</v>
      </c>
      <c r="C122" s="8" t="s">
        <v>9</v>
      </c>
      <c r="D122" s="7" t="s">
        <v>1150</v>
      </c>
      <c r="E122" s="7" t="s">
        <v>845</v>
      </c>
      <c r="F122" s="7" t="s">
        <v>1303</v>
      </c>
      <c r="G122" s="7" t="s">
        <v>1304</v>
      </c>
      <c r="H122" s="7" t="s">
        <v>1305</v>
      </c>
      <c r="I122" s="7" t="s">
        <v>1306</v>
      </c>
      <c r="J122" s="7" t="s">
        <v>1307</v>
      </c>
      <c r="K122" s="7" t="s">
        <v>1308</v>
      </c>
      <c r="L122" s="7" t="s">
        <v>1309</v>
      </c>
      <c r="M122" s="7" t="s">
        <v>1310</v>
      </c>
      <c r="N122" s="7" t="s">
        <v>1311</v>
      </c>
    </row>
    <row r="123" ht="15.75" customHeight="1">
      <c r="A123" s="11" t="s">
        <v>1312</v>
      </c>
      <c r="B123" s="11" t="s">
        <v>1313</v>
      </c>
      <c r="C123" s="5" t="s">
        <v>6</v>
      </c>
      <c r="D123" s="7" t="s">
        <v>1150</v>
      </c>
      <c r="E123" s="7" t="s">
        <v>54</v>
      </c>
      <c r="F123" s="7" t="s">
        <v>1314</v>
      </c>
      <c r="G123" s="7" t="s">
        <v>1315</v>
      </c>
      <c r="H123" s="7" t="s">
        <v>1316</v>
      </c>
      <c r="I123" s="7" t="s">
        <v>1317</v>
      </c>
      <c r="J123" s="7" t="s">
        <v>1318</v>
      </c>
      <c r="K123" s="7" t="s">
        <v>1319</v>
      </c>
      <c r="L123" s="7" t="s">
        <v>1320</v>
      </c>
      <c r="M123" s="7" t="s">
        <v>1321</v>
      </c>
      <c r="N123" s="7" t="s">
        <v>74</v>
      </c>
    </row>
    <row r="124" ht="15.75" customHeight="1">
      <c r="A124" s="11" t="s">
        <v>1322</v>
      </c>
      <c r="B124" s="11" t="s">
        <v>1323</v>
      </c>
      <c r="C124" s="9" t="s">
        <v>12</v>
      </c>
      <c r="D124" s="7" t="s">
        <v>1150</v>
      </c>
      <c r="E124" s="7" t="s">
        <v>261</v>
      </c>
      <c r="F124" s="7" t="s">
        <v>1324</v>
      </c>
      <c r="G124" s="7" t="s">
        <v>1325</v>
      </c>
      <c r="H124" s="7" t="s">
        <v>1326</v>
      </c>
      <c r="I124" s="7" t="s">
        <v>1327</v>
      </c>
      <c r="J124" s="7" t="s">
        <v>1328</v>
      </c>
      <c r="K124" s="7" t="s">
        <v>1329</v>
      </c>
      <c r="L124" s="7" t="s">
        <v>1330</v>
      </c>
      <c r="M124" s="7" t="s">
        <v>1331</v>
      </c>
      <c r="N124" s="7" t="s">
        <v>1199</v>
      </c>
    </row>
    <row r="125" ht="15.75" customHeight="1">
      <c r="A125" s="11" t="s">
        <v>1332</v>
      </c>
      <c r="B125" s="11" t="s">
        <v>1333</v>
      </c>
      <c r="C125" s="9" t="s">
        <v>12</v>
      </c>
      <c r="D125" s="7" t="s">
        <v>1150</v>
      </c>
      <c r="E125" s="7" t="s">
        <v>358</v>
      </c>
      <c r="F125" s="7" t="s">
        <v>1334</v>
      </c>
      <c r="G125" s="7" t="s">
        <v>1335</v>
      </c>
      <c r="H125" s="7" t="s">
        <v>1336</v>
      </c>
      <c r="I125" s="7" t="s">
        <v>1337</v>
      </c>
      <c r="J125" s="7" t="s">
        <v>1338</v>
      </c>
      <c r="K125" s="7" t="s">
        <v>1339</v>
      </c>
      <c r="L125" s="7" t="s">
        <v>1340</v>
      </c>
      <c r="M125" s="7" t="s">
        <v>1341</v>
      </c>
      <c r="N125" s="7" t="s">
        <v>74</v>
      </c>
    </row>
    <row r="126" ht="15.75" customHeight="1">
      <c r="A126" s="11" t="s">
        <v>1342</v>
      </c>
      <c r="B126" s="11" t="s">
        <v>1343</v>
      </c>
      <c r="C126" s="8" t="s">
        <v>9</v>
      </c>
      <c r="D126" s="7" t="s">
        <v>1150</v>
      </c>
      <c r="E126" s="7" t="s">
        <v>54</v>
      </c>
      <c r="F126" s="7" t="s">
        <v>1344</v>
      </c>
      <c r="G126" s="7" t="s">
        <v>1345</v>
      </c>
      <c r="H126" s="7" t="s">
        <v>1346</v>
      </c>
      <c r="I126" s="7" t="s">
        <v>1347</v>
      </c>
      <c r="J126" s="7" t="s">
        <v>1348</v>
      </c>
      <c r="K126" s="7" t="s">
        <v>1349</v>
      </c>
      <c r="L126" s="7" t="s">
        <v>1350</v>
      </c>
      <c r="M126" s="7" t="s">
        <v>1351</v>
      </c>
      <c r="N126" s="7" t="s">
        <v>63</v>
      </c>
    </row>
    <row r="127" ht="15.75" customHeight="1">
      <c r="A127" s="11" t="s">
        <v>1352</v>
      </c>
      <c r="B127" s="11" t="s">
        <v>1353</v>
      </c>
      <c r="C127" s="8" t="s">
        <v>9</v>
      </c>
      <c r="D127" s="7" t="s">
        <v>1150</v>
      </c>
      <c r="E127" s="7" t="s">
        <v>175</v>
      </c>
      <c r="F127" s="7" t="s">
        <v>1354</v>
      </c>
      <c r="G127" s="7" t="s">
        <v>1355</v>
      </c>
      <c r="H127" s="7" t="s">
        <v>1356</v>
      </c>
      <c r="I127" s="7" t="s">
        <v>1357</v>
      </c>
      <c r="J127" s="7" t="s">
        <v>1358</v>
      </c>
      <c r="K127" s="7" t="s">
        <v>1359</v>
      </c>
      <c r="L127" s="7" t="s">
        <v>1360</v>
      </c>
      <c r="M127" s="7" t="s">
        <v>1361</v>
      </c>
      <c r="N127" s="7" t="s">
        <v>1362</v>
      </c>
    </row>
    <row r="128" ht="15.75" customHeight="1">
      <c r="A128" s="11" t="s">
        <v>1363</v>
      </c>
      <c r="B128" s="11" t="s">
        <v>1364</v>
      </c>
      <c r="C128" s="5" t="s">
        <v>6</v>
      </c>
      <c r="D128" s="7" t="s">
        <v>1150</v>
      </c>
      <c r="E128" s="7" t="s">
        <v>54</v>
      </c>
      <c r="F128" s="7" t="s">
        <v>1365</v>
      </c>
      <c r="G128" s="7" t="s">
        <v>1366</v>
      </c>
      <c r="H128" s="7" t="s">
        <v>1367</v>
      </c>
      <c r="I128" s="7" t="s">
        <v>1368</v>
      </c>
      <c r="J128" s="7" t="s">
        <v>1369</v>
      </c>
      <c r="K128" s="7" t="s">
        <v>1370</v>
      </c>
      <c r="L128" s="7" t="s">
        <v>1371</v>
      </c>
      <c r="M128" s="7" t="s">
        <v>1372</v>
      </c>
      <c r="N128" s="7" t="s">
        <v>1373</v>
      </c>
    </row>
    <row r="129" ht="15.75" customHeight="1">
      <c r="A129" s="11" t="s">
        <v>1374</v>
      </c>
      <c r="B129" s="11" t="s">
        <v>1375</v>
      </c>
      <c r="C129" s="5" t="s">
        <v>6</v>
      </c>
      <c r="D129" s="7" t="s">
        <v>1376</v>
      </c>
      <c r="E129" s="7" t="s">
        <v>54</v>
      </c>
      <c r="F129" s="7" t="s">
        <v>1377</v>
      </c>
      <c r="G129" s="7" t="s">
        <v>1378</v>
      </c>
      <c r="H129" s="7" t="s">
        <v>1379</v>
      </c>
      <c r="I129" s="7" t="s">
        <v>1380</v>
      </c>
      <c r="J129" s="7" t="s">
        <v>1381</v>
      </c>
      <c r="K129" s="7" t="s">
        <v>1382</v>
      </c>
      <c r="L129" s="7" t="s">
        <v>1383</v>
      </c>
      <c r="M129" s="7" t="s">
        <v>1384</v>
      </c>
      <c r="N129" s="7" t="s">
        <v>335</v>
      </c>
    </row>
    <row r="130" ht="15.75" customHeight="1">
      <c r="A130" s="11" t="s">
        <v>1385</v>
      </c>
      <c r="B130" s="11" t="s">
        <v>1386</v>
      </c>
      <c r="C130" s="8" t="s">
        <v>9</v>
      </c>
      <c r="D130" s="7" t="s">
        <v>1376</v>
      </c>
      <c r="E130" s="7" t="s">
        <v>54</v>
      </c>
      <c r="F130" s="7" t="s">
        <v>1387</v>
      </c>
      <c r="G130" s="7" t="s">
        <v>1388</v>
      </c>
      <c r="H130" s="7" t="s">
        <v>1389</v>
      </c>
      <c r="I130" s="7" t="s">
        <v>1390</v>
      </c>
      <c r="J130" s="7" t="s">
        <v>1391</v>
      </c>
      <c r="K130" s="7" t="s">
        <v>1392</v>
      </c>
      <c r="L130" s="7" t="s">
        <v>1393</v>
      </c>
      <c r="M130" s="7" t="s">
        <v>1394</v>
      </c>
      <c r="N130" s="7" t="s">
        <v>1395</v>
      </c>
    </row>
    <row r="131" ht="15.75" customHeight="1">
      <c r="A131" s="11" t="s">
        <v>1396</v>
      </c>
      <c r="B131" s="11" t="s">
        <v>1397</v>
      </c>
      <c r="C131" s="9" t="s">
        <v>12</v>
      </c>
      <c r="D131" s="7" t="s">
        <v>1376</v>
      </c>
      <c r="E131" s="7" t="s">
        <v>141</v>
      </c>
      <c r="F131" s="7" t="s">
        <v>1398</v>
      </c>
      <c r="G131" s="7" t="s">
        <v>1399</v>
      </c>
      <c r="H131" s="7" t="s">
        <v>1400</v>
      </c>
      <c r="I131" s="7" t="s">
        <v>1401</v>
      </c>
      <c r="J131" s="7" t="s">
        <v>1402</v>
      </c>
      <c r="K131" s="7" t="s">
        <v>1403</v>
      </c>
      <c r="L131" s="7" t="s">
        <v>1404</v>
      </c>
      <c r="M131" s="7" t="s">
        <v>1405</v>
      </c>
      <c r="N131" s="7" t="s">
        <v>1406</v>
      </c>
    </row>
    <row r="132" ht="15.75" customHeight="1">
      <c r="A132" s="11" t="s">
        <v>1407</v>
      </c>
      <c r="B132" s="11" t="s">
        <v>1408</v>
      </c>
      <c r="C132" s="10" t="s">
        <v>15</v>
      </c>
      <c r="D132" s="7" t="s">
        <v>1376</v>
      </c>
      <c r="E132" s="7" t="s">
        <v>54</v>
      </c>
      <c r="F132" s="7" t="s">
        <v>1409</v>
      </c>
      <c r="G132" s="7" t="s">
        <v>1410</v>
      </c>
      <c r="H132" s="7" t="s">
        <v>1411</v>
      </c>
      <c r="I132" s="7" t="s">
        <v>1412</v>
      </c>
      <c r="J132" s="7" t="s">
        <v>1413</v>
      </c>
      <c r="K132" s="7" t="s">
        <v>1414</v>
      </c>
      <c r="L132" s="7" t="s">
        <v>1415</v>
      </c>
      <c r="M132" s="7" t="s">
        <v>1416</v>
      </c>
      <c r="N132" s="7" t="s">
        <v>247</v>
      </c>
    </row>
    <row r="133" ht="15.75" customHeight="1">
      <c r="A133" s="11" t="s">
        <v>1417</v>
      </c>
      <c r="B133" s="11" t="s">
        <v>1418</v>
      </c>
      <c r="C133" s="8" t="s">
        <v>9</v>
      </c>
      <c r="D133" s="7" t="s">
        <v>1376</v>
      </c>
      <c r="E133" s="7" t="s">
        <v>54</v>
      </c>
      <c r="F133" s="7" t="s">
        <v>1419</v>
      </c>
      <c r="G133" s="7" t="s">
        <v>1420</v>
      </c>
      <c r="H133" s="7" t="s">
        <v>1421</v>
      </c>
      <c r="I133" s="7" t="s">
        <v>1422</v>
      </c>
      <c r="J133" s="7" t="s">
        <v>1423</v>
      </c>
      <c r="K133" s="7" t="s">
        <v>1424</v>
      </c>
      <c r="L133" s="7" t="s">
        <v>1425</v>
      </c>
      <c r="M133" s="7" t="s">
        <v>1426</v>
      </c>
      <c r="N133" s="7" t="s">
        <v>74</v>
      </c>
    </row>
    <row r="134" ht="15.75" customHeight="1">
      <c r="A134" s="11" t="s">
        <v>1427</v>
      </c>
      <c r="B134" s="11" t="s">
        <v>1428</v>
      </c>
      <c r="C134" s="10" t="s">
        <v>15</v>
      </c>
      <c r="D134" s="7" t="s">
        <v>1376</v>
      </c>
      <c r="E134" s="7" t="s">
        <v>54</v>
      </c>
      <c r="F134" s="7" t="s">
        <v>1429</v>
      </c>
      <c r="G134" s="7" t="s">
        <v>1430</v>
      </c>
      <c r="H134" s="7" t="s">
        <v>1431</v>
      </c>
      <c r="I134" s="7" t="s">
        <v>1432</v>
      </c>
      <c r="J134" s="7" t="s">
        <v>1433</v>
      </c>
      <c r="K134" s="7" t="s">
        <v>1434</v>
      </c>
      <c r="L134" s="7" t="s">
        <v>1435</v>
      </c>
      <c r="M134" s="7" t="s">
        <v>1436</v>
      </c>
      <c r="N134" s="7" t="s">
        <v>1199</v>
      </c>
    </row>
    <row r="135" ht="15.75" customHeight="1">
      <c r="A135" s="11" t="s">
        <v>1437</v>
      </c>
      <c r="B135" s="11" t="s">
        <v>1438</v>
      </c>
      <c r="C135" s="8" t="s">
        <v>9</v>
      </c>
      <c r="D135" s="7" t="s">
        <v>1376</v>
      </c>
      <c r="E135" s="7" t="s">
        <v>54</v>
      </c>
      <c r="F135" s="7" t="s">
        <v>1439</v>
      </c>
      <c r="G135" s="7" t="s">
        <v>1440</v>
      </c>
      <c r="H135" s="7" t="s">
        <v>1441</v>
      </c>
      <c r="I135" s="7" t="s">
        <v>1442</v>
      </c>
      <c r="J135" s="7" t="s">
        <v>1443</v>
      </c>
      <c r="K135" s="7" t="s">
        <v>1444</v>
      </c>
      <c r="L135" s="7" t="s">
        <v>1445</v>
      </c>
      <c r="M135" s="7" t="s">
        <v>1446</v>
      </c>
      <c r="N135" s="7" t="s">
        <v>459</v>
      </c>
    </row>
    <row r="136" ht="15.75" customHeight="1">
      <c r="A136" s="11" t="s">
        <v>1447</v>
      </c>
      <c r="B136" s="11" t="s">
        <v>1448</v>
      </c>
      <c r="C136" s="8" t="s">
        <v>9</v>
      </c>
      <c r="D136" s="7" t="s">
        <v>1376</v>
      </c>
      <c r="E136" s="7" t="s">
        <v>88</v>
      </c>
      <c r="F136" s="7" t="s">
        <v>1449</v>
      </c>
      <c r="G136" s="7" t="s">
        <v>1450</v>
      </c>
      <c r="H136" s="7" t="s">
        <v>1451</v>
      </c>
      <c r="I136" s="7" t="s">
        <v>1452</v>
      </c>
      <c r="J136" s="7" t="s">
        <v>1453</v>
      </c>
      <c r="K136" s="7" t="s">
        <v>1454</v>
      </c>
      <c r="L136" s="7" t="s">
        <v>1455</v>
      </c>
      <c r="M136" s="7" t="s">
        <v>1456</v>
      </c>
      <c r="N136" s="7" t="s">
        <v>85</v>
      </c>
    </row>
    <row r="137" ht="15.75" customHeight="1">
      <c r="A137" s="11" t="s">
        <v>1457</v>
      </c>
      <c r="B137" s="11" t="s">
        <v>1458</v>
      </c>
      <c r="C137" s="5" t="s">
        <v>6</v>
      </c>
      <c r="D137" s="7" t="s">
        <v>1376</v>
      </c>
      <c r="E137" s="7" t="s">
        <v>54</v>
      </c>
      <c r="F137" s="7" t="s">
        <v>1459</v>
      </c>
      <c r="G137" s="7" t="s">
        <v>1460</v>
      </c>
      <c r="H137" s="7" t="s">
        <v>1461</v>
      </c>
      <c r="I137" s="7" t="s">
        <v>1462</v>
      </c>
      <c r="J137" s="7" t="s">
        <v>1463</v>
      </c>
      <c r="K137" s="7" t="s">
        <v>1464</v>
      </c>
      <c r="L137" s="7" t="s">
        <v>1465</v>
      </c>
      <c r="M137" s="7" t="s">
        <v>1466</v>
      </c>
      <c r="N137" s="7" t="s">
        <v>138</v>
      </c>
    </row>
    <row r="138" ht="15.75" customHeight="1">
      <c r="A138" s="11" t="s">
        <v>1467</v>
      </c>
      <c r="B138" s="11" t="s">
        <v>1468</v>
      </c>
      <c r="C138" s="8" t="s">
        <v>9</v>
      </c>
      <c r="D138" s="7" t="s">
        <v>1376</v>
      </c>
      <c r="E138" s="7" t="s">
        <v>141</v>
      </c>
      <c r="F138" s="7" t="s">
        <v>1469</v>
      </c>
      <c r="G138" s="7" t="s">
        <v>1470</v>
      </c>
      <c r="H138" s="7" t="s">
        <v>1471</v>
      </c>
      <c r="I138" s="7" t="s">
        <v>1472</v>
      </c>
      <c r="J138" s="7" t="s">
        <v>1473</v>
      </c>
      <c r="K138" s="7" t="s">
        <v>1474</v>
      </c>
      <c r="L138" s="7" t="s">
        <v>1475</v>
      </c>
      <c r="M138" s="7" t="s">
        <v>1476</v>
      </c>
      <c r="N138" s="7" t="s">
        <v>117</v>
      </c>
    </row>
    <row r="139" ht="15.75" customHeight="1">
      <c r="A139" s="11" t="s">
        <v>1477</v>
      </c>
      <c r="B139" s="11" t="s">
        <v>1478</v>
      </c>
      <c r="C139" s="5" t="s">
        <v>6</v>
      </c>
      <c r="D139" s="7" t="s">
        <v>1376</v>
      </c>
      <c r="E139" s="7" t="s">
        <v>54</v>
      </c>
      <c r="F139" s="7" t="s">
        <v>1479</v>
      </c>
      <c r="G139" s="7" t="s">
        <v>1480</v>
      </c>
      <c r="H139" s="7" t="s">
        <v>1481</v>
      </c>
      <c r="I139" s="7" t="s">
        <v>1482</v>
      </c>
      <c r="J139" s="7" t="s">
        <v>1483</v>
      </c>
      <c r="K139" s="7" t="s">
        <v>1484</v>
      </c>
      <c r="L139" s="7" t="s">
        <v>1485</v>
      </c>
      <c r="M139" s="7" t="s">
        <v>1486</v>
      </c>
      <c r="N139" s="7" t="s">
        <v>85</v>
      </c>
    </row>
    <row r="140" ht="15.75" customHeight="1">
      <c r="A140" s="11" t="s">
        <v>1487</v>
      </c>
      <c r="B140" s="11" t="s">
        <v>1488</v>
      </c>
      <c r="C140" s="5" t="s">
        <v>6</v>
      </c>
      <c r="D140" s="7" t="s">
        <v>1376</v>
      </c>
      <c r="E140" s="7" t="s">
        <v>54</v>
      </c>
      <c r="F140" s="7" t="s">
        <v>1489</v>
      </c>
      <c r="G140" s="7" t="s">
        <v>1490</v>
      </c>
      <c r="H140" s="7" t="s">
        <v>1491</v>
      </c>
      <c r="I140" s="7" t="s">
        <v>1492</v>
      </c>
      <c r="J140" s="7" t="s">
        <v>1493</v>
      </c>
      <c r="K140" s="7" t="s">
        <v>1494</v>
      </c>
      <c r="L140" s="7" t="s">
        <v>1495</v>
      </c>
      <c r="M140" s="7" t="s">
        <v>1496</v>
      </c>
      <c r="N140" s="7" t="s">
        <v>117</v>
      </c>
    </row>
    <row r="141" ht="15.75" customHeight="1">
      <c r="A141" s="11" t="s">
        <v>1497</v>
      </c>
      <c r="B141" s="11" t="s">
        <v>1498</v>
      </c>
      <c r="C141" s="9" t="s">
        <v>12</v>
      </c>
      <c r="D141" s="7" t="s">
        <v>1376</v>
      </c>
      <c r="E141" s="7" t="s">
        <v>54</v>
      </c>
      <c r="F141" s="7" t="s">
        <v>1499</v>
      </c>
      <c r="G141" s="7" t="s">
        <v>1500</v>
      </c>
      <c r="H141" s="7" t="s">
        <v>1501</v>
      </c>
      <c r="I141" s="7" t="s">
        <v>1502</v>
      </c>
      <c r="J141" s="7" t="s">
        <v>1503</v>
      </c>
      <c r="K141" s="7" t="s">
        <v>1504</v>
      </c>
      <c r="L141" s="7" t="s">
        <v>1505</v>
      </c>
      <c r="M141" s="7" t="s">
        <v>1506</v>
      </c>
      <c r="N141" s="7" t="s">
        <v>1097</v>
      </c>
    </row>
    <row r="142" ht="15.75" customHeight="1">
      <c r="A142" s="11" t="s">
        <v>1507</v>
      </c>
      <c r="B142" s="11" t="s">
        <v>1508</v>
      </c>
      <c r="C142" s="8" t="s">
        <v>9</v>
      </c>
      <c r="D142" s="7" t="s">
        <v>1376</v>
      </c>
      <c r="E142" s="7" t="s">
        <v>54</v>
      </c>
      <c r="F142" s="7" t="s">
        <v>1509</v>
      </c>
      <c r="G142" s="7" t="s">
        <v>1510</v>
      </c>
      <c r="H142" s="7" t="s">
        <v>1511</v>
      </c>
      <c r="I142" s="7" t="s">
        <v>1512</v>
      </c>
      <c r="J142" s="7" t="s">
        <v>1513</v>
      </c>
      <c r="K142" s="7" t="s">
        <v>1514</v>
      </c>
      <c r="L142" s="7" t="s">
        <v>1515</v>
      </c>
      <c r="M142" s="7" t="s">
        <v>1516</v>
      </c>
      <c r="N142" s="7" t="s">
        <v>85</v>
      </c>
    </row>
    <row r="143" ht="15.75" customHeight="1">
      <c r="A143" s="11" t="s">
        <v>1517</v>
      </c>
      <c r="B143" s="11" t="s">
        <v>1518</v>
      </c>
      <c r="C143" s="8" t="s">
        <v>9</v>
      </c>
      <c r="D143" s="7" t="s">
        <v>1376</v>
      </c>
      <c r="E143" s="7" t="s">
        <v>358</v>
      </c>
      <c r="F143" s="7" t="s">
        <v>1519</v>
      </c>
      <c r="G143" s="7" t="s">
        <v>1520</v>
      </c>
      <c r="H143" s="7" t="s">
        <v>1521</v>
      </c>
      <c r="I143" s="7" t="s">
        <v>1522</v>
      </c>
      <c r="J143" s="7" t="s">
        <v>1523</v>
      </c>
      <c r="K143" s="7" t="s">
        <v>1524</v>
      </c>
      <c r="L143" s="7" t="s">
        <v>1525</v>
      </c>
      <c r="M143" s="7" t="s">
        <v>1526</v>
      </c>
      <c r="N143" s="7" t="s">
        <v>247</v>
      </c>
    </row>
    <row r="144" ht="15.75" customHeight="1">
      <c r="A144" s="11" t="s">
        <v>1527</v>
      </c>
      <c r="B144" s="11" t="s">
        <v>1528</v>
      </c>
      <c r="C144" s="9" t="s">
        <v>12</v>
      </c>
      <c r="D144" s="7" t="s">
        <v>1376</v>
      </c>
      <c r="E144" s="7" t="s">
        <v>261</v>
      </c>
      <c r="F144" s="7" t="s">
        <v>1529</v>
      </c>
      <c r="G144" s="7" t="s">
        <v>1530</v>
      </c>
      <c r="H144" s="7" t="s">
        <v>1531</v>
      </c>
      <c r="I144" s="7" t="s">
        <v>1532</v>
      </c>
      <c r="J144" s="7" t="s">
        <v>1533</v>
      </c>
      <c r="K144" s="7" t="s">
        <v>1534</v>
      </c>
      <c r="L144" s="7" t="s">
        <v>1535</v>
      </c>
      <c r="M144" s="7" t="s">
        <v>1536</v>
      </c>
      <c r="N144" s="7" t="s">
        <v>1537</v>
      </c>
    </row>
    <row r="145" ht="15.75" customHeight="1">
      <c r="A145" s="11" t="s">
        <v>1538</v>
      </c>
      <c r="B145" s="11" t="s">
        <v>1539</v>
      </c>
      <c r="C145" s="9" t="s">
        <v>12</v>
      </c>
      <c r="D145" s="7" t="s">
        <v>1376</v>
      </c>
      <c r="E145" s="7" t="s">
        <v>175</v>
      </c>
      <c r="F145" s="7" t="s">
        <v>1540</v>
      </c>
      <c r="G145" s="7" t="s">
        <v>1541</v>
      </c>
      <c r="H145" s="7" t="s">
        <v>1542</v>
      </c>
      <c r="I145" s="7" t="s">
        <v>1543</v>
      </c>
      <c r="J145" s="7" t="s">
        <v>1544</v>
      </c>
      <c r="K145" s="7" t="s">
        <v>1545</v>
      </c>
      <c r="L145" s="7" t="s">
        <v>1546</v>
      </c>
      <c r="M145" s="7" t="s">
        <v>1547</v>
      </c>
      <c r="N145" s="7" t="s">
        <v>85</v>
      </c>
    </row>
    <row r="146" ht="15.75" customHeight="1">
      <c r="A146" s="11" t="s">
        <v>1548</v>
      </c>
      <c r="B146" s="11" t="s">
        <v>1549</v>
      </c>
      <c r="C146" s="8" t="s">
        <v>9</v>
      </c>
      <c r="D146" s="7" t="s">
        <v>1376</v>
      </c>
      <c r="E146" s="7" t="s">
        <v>54</v>
      </c>
      <c r="F146" s="7" t="s">
        <v>1550</v>
      </c>
      <c r="G146" s="7" t="s">
        <v>1551</v>
      </c>
      <c r="H146" s="7" t="s">
        <v>1552</v>
      </c>
      <c r="I146" s="7" t="s">
        <v>1553</v>
      </c>
      <c r="J146" s="7" t="s">
        <v>1554</v>
      </c>
      <c r="K146" s="7" t="s">
        <v>1555</v>
      </c>
      <c r="L146" s="7" t="s">
        <v>1556</v>
      </c>
      <c r="M146" s="7" t="s">
        <v>1557</v>
      </c>
      <c r="N146" s="7" t="s">
        <v>74</v>
      </c>
    </row>
    <row r="147" ht="15.75" customHeight="1">
      <c r="A147" s="11" t="s">
        <v>1558</v>
      </c>
      <c r="B147" s="11" t="s">
        <v>1559</v>
      </c>
      <c r="C147" s="8" t="s">
        <v>9</v>
      </c>
      <c r="D147" s="7" t="s">
        <v>1376</v>
      </c>
      <c r="E147" s="7" t="s">
        <v>54</v>
      </c>
      <c r="F147" s="7" t="s">
        <v>1560</v>
      </c>
      <c r="G147" s="7" t="s">
        <v>1561</v>
      </c>
      <c r="H147" s="7" t="s">
        <v>1562</v>
      </c>
      <c r="I147" s="7" t="s">
        <v>1563</v>
      </c>
      <c r="J147" s="7" t="s">
        <v>1564</v>
      </c>
      <c r="K147" s="7" t="s">
        <v>1565</v>
      </c>
      <c r="L147" s="7" t="s">
        <v>1566</v>
      </c>
      <c r="M147" s="7" t="s">
        <v>1567</v>
      </c>
      <c r="N147" s="7" t="s">
        <v>719</v>
      </c>
    </row>
    <row r="148" ht="15.75" customHeight="1">
      <c r="A148" s="11" t="s">
        <v>1568</v>
      </c>
      <c r="B148" s="11" t="s">
        <v>1569</v>
      </c>
      <c r="C148" s="8" t="s">
        <v>9</v>
      </c>
      <c r="D148" s="7" t="s">
        <v>1376</v>
      </c>
      <c r="E148" s="7" t="s">
        <v>54</v>
      </c>
      <c r="F148" s="7" t="s">
        <v>1570</v>
      </c>
      <c r="G148" s="7" t="s">
        <v>1571</v>
      </c>
      <c r="H148" s="7" t="s">
        <v>1572</v>
      </c>
      <c r="I148" s="7" t="s">
        <v>1573</v>
      </c>
      <c r="J148" s="7" t="s">
        <v>1574</v>
      </c>
      <c r="K148" s="7" t="s">
        <v>1575</v>
      </c>
      <c r="L148" s="7" t="s">
        <v>1576</v>
      </c>
      <c r="M148" s="7" t="s">
        <v>1577</v>
      </c>
      <c r="N148" s="7" t="s">
        <v>1373</v>
      </c>
    </row>
    <row r="149" ht="15.75" customHeight="1">
      <c r="A149" s="11" t="s">
        <v>1578</v>
      </c>
      <c r="B149" s="11" t="s">
        <v>1579</v>
      </c>
      <c r="C149" s="8" t="s">
        <v>9</v>
      </c>
      <c r="D149" s="7" t="s">
        <v>1376</v>
      </c>
      <c r="E149" s="7" t="s">
        <v>54</v>
      </c>
      <c r="F149" s="7" t="s">
        <v>1580</v>
      </c>
      <c r="G149" s="7" t="s">
        <v>1581</v>
      </c>
      <c r="H149" s="7" t="s">
        <v>1582</v>
      </c>
      <c r="I149" s="7" t="s">
        <v>1583</v>
      </c>
      <c r="J149" s="7" t="s">
        <v>1584</v>
      </c>
      <c r="K149" s="7" t="s">
        <v>1585</v>
      </c>
      <c r="L149" s="7" t="s">
        <v>1586</v>
      </c>
      <c r="M149" s="7" t="s">
        <v>1587</v>
      </c>
      <c r="N149" s="7" t="s">
        <v>448</v>
      </c>
    </row>
    <row r="150" ht="15.75" customHeight="1">
      <c r="A150" s="11" t="s">
        <v>1588</v>
      </c>
      <c r="B150" s="11" t="s">
        <v>1589</v>
      </c>
      <c r="C150" s="9" t="s">
        <v>12</v>
      </c>
      <c r="D150" s="7" t="s">
        <v>1376</v>
      </c>
      <c r="E150" s="7" t="s">
        <v>141</v>
      </c>
      <c r="F150" s="7" t="s">
        <v>1590</v>
      </c>
      <c r="G150" s="7" t="s">
        <v>1591</v>
      </c>
      <c r="H150" s="7" t="s">
        <v>1592</v>
      </c>
      <c r="I150" s="7" t="s">
        <v>1593</v>
      </c>
      <c r="J150" s="7" t="s">
        <v>1594</v>
      </c>
      <c r="K150" s="7" t="s">
        <v>1595</v>
      </c>
      <c r="L150" s="7" t="s">
        <v>1596</v>
      </c>
      <c r="M150" s="7" t="s">
        <v>1597</v>
      </c>
      <c r="N150" s="7" t="s">
        <v>1199</v>
      </c>
    </row>
    <row r="151" ht="15.75" customHeight="1">
      <c r="A151" s="11" t="s">
        <v>1598</v>
      </c>
      <c r="B151" s="11" t="s">
        <v>1599</v>
      </c>
      <c r="C151" s="5" t="s">
        <v>6</v>
      </c>
      <c r="D151" s="7" t="s">
        <v>1600</v>
      </c>
      <c r="E151" s="7" t="s">
        <v>88</v>
      </c>
      <c r="F151" s="7" t="s">
        <v>1601</v>
      </c>
      <c r="G151" s="7" t="s">
        <v>1602</v>
      </c>
      <c r="H151" s="7" t="s">
        <v>1603</v>
      </c>
      <c r="I151" s="7" t="s">
        <v>1604</v>
      </c>
      <c r="J151" s="7" t="s">
        <v>1605</v>
      </c>
      <c r="K151" s="7" t="s">
        <v>1606</v>
      </c>
      <c r="L151" s="7" t="s">
        <v>1607</v>
      </c>
      <c r="M151" s="7" t="s">
        <v>1608</v>
      </c>
      <c r="N151" s="7" t="s">
        <v>258</v>
      </c>
    </row>
    <row r="152" ht="15.75" customHeight="1">
      <c r="A152" s="11" t="s">
        <v>1609</v>
      </c>
      <c r="B152" s="11" t="s">
        <v>1610</v>
      </c>
      <c r="C152" s="5" t="s">
        <v>6</v>
      </c>
      <c r="D152" s="7" t="s">
        <v>1600</v>
      </c>
      <c r="E152" s="7" t="s">
        <v>54</v>
      </c>
      <c r="F152" s="7" t="s">
        <v>1611</v>
      </c>
      <c r="G152" s="7" t="s">
        <v>1612</v>
      </c>
      <c r="H152" s="7" t="s">
        <v>1613</v>
      </c>
      <c r="I152" s="7" t="s">
        <v>1614</v>
      </c>
      <c r="J152" s="7" t="s">
        <v>1615</v>
      </c>
      <c r="K152" s="7" t="s">
        <v>1616</v>
      </c>
      <c r="L152" s="7" t="s">
        <v>1617</v>
      </c>
      <c r="M152" s="7" t="s">
        <v>1618</v>
      </c>
      <c r="N152" s="7" t="s">
        <v>741</v>
      </c>
    </row>
    <row r="153" ht="15.75" customHeight="1">
      <c r="A153" s="11" t="s">
        <v>1619</v>
      </c>
      <c r="B153" s="11" t="s">
        <v>1620</v>
      </c>
      <c r="C153" s="8" t="s">
        <v>9</v>
      </c>
      <c r="D153" s="7" t="s">
        <v>1600</v>
      </c>
      <c r="E153" s="7" t="s">
        <v>54</v>
      </c>
      <c r="F153" s="7" t="s">
        <v>1621</v>
      </c>
      <c r="G153" s="7" t="s">
        <v>1622</v>
      </c>
      <c r="H153" s="7" t="s">
        <v>1623</v>
      </c>
      <c r="I153" s="7" t="s">
        <v>1624</v>
      </c>
      <c r="J153" s="7" t="s">
        <v>1625</v>
      </c>
      <c r="K153" s="7" t="s">
        <v>1626</v>
      </c>
      <c r="L153" s="7" t="s">
        <v>1627</v>
      </c>
      <c r="M153" s="7" t="s">
        <v>1628</v>
      </c>
      <c r="N153" s="7" t="s">
        <v>741</v>
      </c>
    </row>
    <row r="154" ht="15.75" customHeight="1">
      <c r="A154" s="11" t="s">
        <v>1629</v>
      </c>
      <c r="B154" s="11" t="s">
        <v>1630</v>
      </c>
      <c r="C154" s="8" t="s">
        <v>9</v>
      </c>
      <c r="D154" s="7" t="s">
        <v>1600</v>
      </c>
      <c r="E154" s="7" t="s">
        <v>54</v>
      </c>
      <c r="F154" s="7" t="s">
        <v>1631</v>
      </c>
      <c r="G154" s="7" t="s">
        <v>1632</v>
      </c>
      <c r="H154" s="7" t="s">
        <v>1633</v>
      </c>
      <c r="I154" s="7" t="s">
        <v>1634</v>
      </c>
      <c r="J154" s="7" t="s">
        <v>1635</v>
      </c>
      <c r="K154" s="7" t="s">
        <v>1636</v>
      </c>
      <c r="L154" s="7" t="s">
        <v>1637</v>
      </c>
      <c r="M154" s="7" t="s">
        <v>1638</v>
      </c>
      <c r="N154" s="7" t="s">
        <v>150</v>
      </c>
    </row>
    <row r="155" ht="15.75" customHeight="1">
      <c r="A155" s="11" t="s">
        <v>1639</v>
      </c>
      <c r="B155" s="11" t="s">
        <v>1640</v>
      </c>
      <c r="C155" s="8" t="s">
        <v>9</v>
      </c>
      <c r="D155" s="7" t="s">
        <v>1600</v>
      </c>
      <c r="E155" s="7" t="s">
        <v>305</v>
      </c>
      <c r="F155" s="7" t="s">
        <v>1641</v>
      </c>
      <c r="G155" s="7" t="s">
        <v>1642</v>
      </c>
      <c r="H155" s="7" t="s">
        <v>1643</v>
      </c>
      <c r="I155" s="7" t="s">
        <v>1644</v>
      </c>
      <c r="J155" s="7" t="s">
        <v>1645</v>
      </c>
      <c r="K155" s="7" t="s">
        <v>1646</v>
      </c>
      <c r="L155" s="7" t="s">
        <v>1647</v>
      </c>
      <c r="M155" s="7" t="s">
        <v>1648</v>
      </c>
      <c r="N155" s="7" t="s">
        <v>247</v>
      </c>
    </row>
    <row r="156" ht="15.75" customHeight="1">
      <c r="A156" s="11" t="s">
        <v>1649</v>
      </c>
      <c r="B156" s="11" t="s">
        <v>1650</v>
      </c>
      <c r="C156" s="8" t="s">
        <v>9</v>
      </c>
      <c r="D156" s="7" t="s">
        <v>1600</v>
      </c>
      <c r="E156" s="7" t="s">
        <v>141</v>
      </c>
      <c r="F156" s="7" t="s">
        <v>1651</v>
      </c>
      <c r="G156" s="7" t="s">
        <v>1652</v>
      </c>
      <c r="H156" s="7" t="s">
        <v>1653</v>
      </c>
      <c r="I156" s="7" t="s">
        <v>1654</v>
      </c>
      <c r="J156" s="7" t="s">
        <v>1655</v>
      </c>
      <c r="K156" s="7" t="s">
        <v>1656</v>
      </c>
      <c r="L156" s="7" t="s">
        <v>1657</v>
      </c>
      <c r="M156" s="7" t="s">
        <v>1658</v>
      </c>
      <c r="N156" s="7" t="s">
        <v>417</v>
      </c>
    </row>
    <row r="157" ht="15.75" customHeight="1">
      <c r="A157" s="11" t="s">
        <v>1659</v>
      </c>
      <c r="B157" s="11" t="s">
        <v>1660</v>
      </c>
      <c r="C157" s="8" t="s">
        <v>9</v>
      </c>
      <c r="D157" s="7" t="s">
        <v>1600</v>
      </c>
      <c r="E157" s="7" t="s">
        <v>88</v>
      </c>
      <c r="F157" s="7" t="s">
        <v>1661</v>
      </c>
      <c r="G157" s="7" t="s">
        <v>1662</v>
      </c>
      <c r="H157" s="7" t="s">
        <v>1663</v>
      </c>
      <c r="I157" s="7" t="s">
        <v>1664</v>
      </c>
      <c r="J157" s="7" t="s">
        <v>1665</v>
      </c>
      <c r="K157" s="7" t="s">
        <v>1666</v>
      </c>
      <c r="L157" s="7" t="s">
        <v>1667</v>
      </c>
      <c r="M157" s="7" t="s">
        <v>1668</v>
      </c>
      <c r="N157" s="7" t="s">
        <v>667</v>
      </c>
    </row>
    <row r="158" ht="15.75" customHeight="1">
      <c r="A158" s="11" t="s">
        <v>1669</v>
      </c>
      <c r="B158" s="11" t="s">
        <v>1670</v>
      </c>
      <c r="C158" s="8" t="s">
        <v>9</v>
      </c>
      <c r="D158" s="7" t="s">
        <v>1600</v>
      </c>
      <c r="E158" s="7" t="s">
        <v>88</v>
      </c>
      <c r="F158" s="7" t="s">
        <v>1671</v>
      </c>
      <c r="G158" s="7" t="s">
        <v>1672</v>
      </c>
      <c r="H158" s="7" t="s">
        <v>1673</v>
      </c>
      <c r="I158" s="7" t="s">
        <v>1674</v>
      </c>
      <c r="J158" s="7" t="s">
        <v>1675</v>
      </c>
      <c r="K158" s="7" t="s">
        <v>1676</v>
      </c>
      <c r="L158" s="7" t="s">
        <v>1677</v>
      </c>
      <c r="M158" s="7" t="s">
        <v>1678</v>
      </c>
      <c r="N158" s="7" t="s">
        <v>565</v>
      </c>
    </row>
    <row r="159" ht="15.75" customHeight="1">
      <c r="A159" s="11" t="s">
        <v>1679</v>
      </c>
      <c r="B159" s="11" t="s">
        <v>1680</v>
      </c>
      <c r="C159" s="5" t="s">
        <v>6</v>
      </c>
      <c r="D159" s="7" t="s">
        <v>1600</v>
      </c>
      <c r="E159" s="7" t="s">
        <v>54</v>
      </c>
      <c r="F159" s="7" t="s">
        <v>1681</v>
      </c>
      <c r="G159" s="7" t="s">
        <v>1682</v>
      </c>
      <c r="H159" s="7" t="s">
        <v>1683</v>
      </c>
      <c r="I159" s="7" t="s">
        <v>1684</v>
      </c>
      <c r="J159" s="7" t="s">
        <v>1685</v>
      </c>
      <c r="K159" s="7" t="s">
        <v>1686</v>
      </c>
      <c r="L159" s="7" t="s">
        <v>1687</v>
      </c>
      <c r="M159" s="7" t="s">
        <v>1688</v>
      </c>
      <c r="N159" s="7" t="s">
        <v>1373</v>
      </c>
    </row>
    <row r="160" ht="15.75" customHeight="1">
      <c r="A160" s="11" t="s">
        <v>1689</v>
      </c>
      <c r="B160" s="11" t="s">
        <v>1690</v>
      </c>
      <c r="C160" s="5" t="s">
        <v>6</v>
      </c>
      <c r="D160" s="7" t="s">
        <v>1600</v>
      </c>
      <c r="E160" s="7" t="s">
        <v>54</v>
      </c>
      <c r="F160" s="7" t="s">
        <v>1691</v>
      </c>
      <c r="G160" s="7" t="s">
        <v>1692</v>
      </c>
      <c r="H160" s="7" t="s">
        <v>1693</v>
      </c>
      <c r="I160" s="7" t="s">
        <v>1694</v>
      </c>
      <c r="J160" s="7" t="s">
        <v>1695</v>
      </c>
      <c r="K160" s="7" t="s">
        <v>1696</v>
      </c>
      <c r="L160" s="7" t="s">
        <v>1697</v>
      </c>
      <c r="M160" s="7" t="s">
        <v>1698</v>
      </c>
      <c r="N160" s="7" t="s">
        <v>281</v>
      </c>
    </row>
    <row r="161" ht="15.75" customHeight="1">
      <c r="A161" s="11" t="s">
        <v>1699</v>
      </c>
      <c r="B161" s="11" t="s">
        <v>1700</v>
      </c>
      <c r="C161" s="5" t="s">
        <v>6</v>
      </c>
      <c r="D161" s="7" t="s">
        <v>1600</v>
      </c>
      <c r="E161" s="7" t="s">
        <v>845</v>
      </c>
      <c r="F161" s="7" t="s">
        <v>1701</v>
      </c>
      <c r="G161" s="7" t="s">
        <v>1702</v>
      </c>
      <c r="H161" s="7" t="s">
        <v>1703</v>
      </c>
      <c r="I161" s="7" t="s">
        <v>1704</v>
      </c>
      <c r="J161" s="7" t="s">
        <v>1705</v>
      </c>
      <c r="K161" s="7" t="s">
        <v>1706</v>
      </c>
      <c r="L161" s="7" t="s">
        <v>1707</v>
      </c>
      <c r="M161" s="7" t="s">
        <v>1708</v>
      </c>
      <c r="N161" s="7" t="s">
        <v>150</v>
      </c>
    </row>
    <row r="162" ht="15.75" customHeight="1">
      <c r="A162" s="11" t="s">
        <v>1709</v>
      </c>
      <c r="B162" s="11" t="s">
        <v>1710</v>
      </c>
      <c r="C162" s="9" t="s">
        <v>12</v>
      </c>
      <c r="D162" s="7" t="s">
        <v>1600</v>
      </c>
      <c r="E162" s="7" t="s">
        <v>54</v>
      </c>
      <c r="F162" s="7" t="s">
        <v>1711</v>
      </c>
      <c r="G162" s="7" t="s">
        <v>1712</v>
      </c>
      <c r="H162" s="7" t="s">
        <v>1713</v>
      </c>
      <c r="I162" s="7" t="s">
        <v>1714</v>
      </c>
      <c r="J162" s="7" t="s">
        <v>1715</v>
      </c>
      <c r="K162" s="7" t="s">
        <v>1716</v>
      </c>
      <c r="L162" s="7" t="s">
        <v>1717</v>
      </c>
      <c r="M162" s="7" t="s">
        <v>1718</v>
      </c>
      <c r="N162" s="7" t="s">
        <v>1719</v>
      </c>
    </row>
    <row r="163" ht="15.75" customHeight="1">
      <c r="A163" s="11" t="s">
        <v>1720</v>
      </c>
      <c r="B163" s="11" t="s">
        <v>1721</v>
      </c>
      <c r="C163" s="8" t="s">
        <v>9</v>
      </c>
      <c r="D163" s="7" t="s">
        <v>1600</v>
      </c>
      <c r="E163" s="7" t="s">
        <v>175</v>
      </c>
      <c r="F163" s="7" t="s">
        <v>1722</v>
      </c>
      <c r="G163" s="7" t="s">
        <v>1723</v>
      </c>
      <c r="H163" s="7" t="s">
        <v>1724</v>
      </c>
      <c r="I163" s="7" t="s">
        <v>1725</v>
      </c>
      <c r="J163" s="7" t="s">
        <v>1726</v>
      </c>
      <c r="K163" s="7" t="s">
        <v>1727</v>
      </c>
      <c r="L163" s="7" t="s">
        <v>1728</v>
      </c>
      <c r="M163" s="7" t="s">
        <v>1729</v>
      </c>
      <c r="N163" s="7" t="s">
        <v>792</v>
      </c>
    </row>
    <row r="164" ht="15.75" customHeight="1">
      <c r="A164" s="11" t="s">
        <v>1730</v>
      </c>
      <c r="B164" s="11" t="s">
        <v>1731</v>
      </c>
      <c r="C164" s="5" t="s">
        <v>6</v>
      </c>
      <c r="D164" s="7" t="s">
        <v>1600</v>
      </c>
      <c r="E164" s="7" t="s">
        <v>88</v>
      </c>
      <c r="F164" s="7" t="s">
        <v>1732</v>
      </c>
      <c r="G164" s="7" t="s">
        <v>1733</v>
      </c>
      <c r="H164" s="7" t="s">
        <v>1734</v>
      </c>
      <c r="I164" s="7" t="s">
        <v>1735</v>
      </c>
      <c r="J164" s="7" t="s">
        <v>1736</v>
      </c>
      <c r="K164" s="7" t="s">
        <v>1737</v>
      </c>
      <c r="L164" s="7" t="s">
        <v>1738</v>
      </c>
      <c r="M164" s="7" t="s">
        <v>1739</v>
      </c>
      <c r="N164" s="7" t="s">
        <v>85</v>
      </c>
    </row>
    <row r="165" ht="15.75" customHeight="1">
      <c r="A165" s="11" t="s">
        <v>1740</v>
      </c>
      <c r="B165" s="11" t="s">
        <v>1741</v>
      </c>
      <c r="C165" s="5" t="s">
        <v>6</v>
      </c>
      <c r="D165" s="7" t="s">
        <v>1600</v>
      </c>
      <c r="E165" s="7" t="s">
        <v>54</v>
      </c>
      <c r="F165" s="7" t="s">
        <v>1742</v>
      </c>
      <c r="G165" s="7" t="s">
        <v>1743</v>
      </c>
      <c r="H165" s="7" t="s">
        <v>1744</v>
      </c>
      <c r="I165" s="7" t="s">
        <v>1745</v>
      </c>
      <c r="J165" s="7" t="s">
        <v>1746</v>
      </c>
      <c r="K165" s="7" t="s">
        <v>1747</v>
      </c>
      <c r="L165" s="7" t="s">
        <v>1748</v>
      </c>
      <c r="M165" s="7" t="s">
        <v>1749</v>
      </c>
      <c r="N165" s="7" t="s">
        <v>150</v>
      </c>
    </row>
    <row r="166" ht="15.75" customHeight="1">
      <c r="A166" s="11" t="s">
        <v>1750</v>
      </c>
      <c r="B166" s="11" t="s">
        <v>1751</v>
      </c>
      <c r="C166" s="9" t="s">
        <v>12</v>
      </c>
      <c r="D166" s="7" t="s">
        <v>1600</v>
      </c>
      <c r="E166" s="7" t="s">
        <v>88</v>
      </c>
      <c r="F166" s="7" t="s">
        <v>1752</v>
      </c>
      <c r="G166" s="7" t="s">
        <v>1753</v>
      </c>
      <c r="H166" s="7" t="s">
        <v>1754</v>
      </c>
      <c r="I166" s="7" t="s">
        <v>1755</v>
      </c>
      <c r="J166" s="7" t="s">
        <v>1756</v>
      </c>
      <c r="K166" s="7" t="s">
        <v>1757</v>
      </c>
      <c r="L166" s="7" t="s">
        <v>1758</v>
      </c>
      <c r="M166" s="7" t="s">
        <v>1759</v>
      </c>
      <c r="N166" s="7" t="s">
        <v>85</v>
      </c>
    </row>
    <row r="167" ht="15.75" customHeight="1">
      <c r="A167" s="11" t="s">
        <v>1760</v>
      </c>
      <c r="B167" s="11" t="s">
        <v>1761</v>
      </c>
      <c r="C167" s="5" t="s">
        <v>6</v>
      </c>
      <c r="D167" s="7" t="s">
        <v>1600</v>
      </c>
      <c r="E167" s="7" t="s">
        <v>141</v>
      </c>
      <c r="F167" s="7" t="s">
        <v>1762</v>
      </c>
      <c r="G167" s="7" t="s">
        <v>1763</v>
      </c>
      <c r="H167" s="7" t="s">
        <v>1764</v>
      </c>
      <c r="I167" s="7" t="s">
        <v>1765</v>
      </c>
      <c r="J167" s="7" t="s">
        <v>1766</v>
      </c>
      <c r="K167" s="7" t="s">
        <v>1767</v>
      </c>
      <c r="L167" s="7" t="s">
        <v>1768</v>
      </c>
      <c r="M167" s="7" t="s">
        <v>1769</v>
      </c>
      <c r="N167" s="7" t="s">
        <v>247</v>
      </c>
    </row>
    <row r="168" ht="15.75" customHeight="1">
      <c r="A168" s="11" t="s">
        <v>1770</v>
      </c>
      <c r="B168" s="11" t="s">
        <v>1771</v>
      </c>
      <c r="C168" s="8" t="s">
        <v>9</v>
      </c>
      <c r="D168" s="7" t="s">
        <v>1600</v>
      </c>
      <c r="E168" s="7" t="s">
        <v>54</v>
      </c>
      <c r="F168" s="7" t="s">
        <v>1772</v>
      </c>
      <c r="G168" s="7" t="s">
        <v>1773</v>
      </c>
      <c r="H168" s="7" t="s">
        <v>1774</v>
      </c>
      <c r="I168" s="7" t="s">
        <v>1775</v>
      </c>
      <c r="J168" s="7" t="s">
        <v>1776</v>
      </c>
      <c r="K168" s="7" t="s">
        <v>1777</v>
      </c>
      <c r="L168" s="7" t="s">
        <v>1778</v>
      </c>
      <c r="M168" s="7" t="s">
        <v>1779</v>
      </c>
      <c r="N168" s="7" t="s">
        <v>74</v>
      </c>
    </row>
    <row r="169" ht="15.75" customHeight="1">
      <c r="A169" s="11" t="s">
        <v>1780</v>
      </c>
      <c r="B169" s="11" t="s">
        <v>1781</v>
      </c>
      <c r="C169" s="8" t="s">
        <v>9</v>
      </c>
      <c r="D169" s="7" t="s">
        <v>1600</v>
      </c>
      <c r="E169" s="7" t="s">
        <v>88</v>
      </c>
      <c r="F169" s="7" t="s">
        <v>1782</v>
      </c>
      <c r="G169" s="7" t="s">
        <v>1783</v>
      </c>
      <c r="H169" s="7" t="s">
        <v>1784</v>
      </c>
      <c r="I169" s="7" t="s">
        <v>1785</v>
      </c>
      <c r="J169" s="7" t="s">
        <v>1786</v>
      </c>
      <c r="K169" s="7" t="s">
        <v>1787</v>
      </c>
      <c r="L169" s="7" t="s">
        <v>1788</v>
      </c>
      <c r="M169" s="7" t="s">
        <v>1789</v>
      </c>
      <c r="N169" s="7" t="s">
        <v>74</v>
      </c>
    </row>
    <row r="170" ht="15.75" customHeight="1">
      <c r="A170" s="11" t="s">
        <v>1790</v>
      </c>
      <c r="B170" s="11" t="s">
        <v>1791</v>
      </c>
      <c r="C170" s="5" t="s">
        <v>6</v>
      </c>
      <c r="D170" s="7" t="s">
        <v>1600</v>
      </c>
      <c r="E170" s="7" t="s">
        <v>54</v>
      </c>
      <c r="F170" s="7" t="s">
        <v>1792</v>
      </c>
      <c r="G170" s="7" t="s">
        <v>1793</v>
      </c>
      <c r="H170" s="7" t="s">
        <v>1794</v>
      </c>
      <c r="I170" s="7" t="s">
        <v>1795</v>
      </c>
      <c r="J170" s="7" t="s">
        <v>1796</v>
      </c>
      <c r="K170" s="7" t="s">
        <v>1797</v>
      </c>
      <c r="L170" s="7" t="s">
        <v>1798</v>
      </c>
      <c r="M170" s="7" t="s">
        <v>1799</v>
      </c>
      <c r="N170" s="7" t="s">
        <v>1199</v>
      </c>
    </row>
    <row r="171" ht="15.75" customHeight="1">
      <c r="A171" s="11" t="s">
        <v>1800</v>
      </c>
      <c r="B171" s="11" t="s">
        <v>1801</v>
      </c>
      <c r="C171" s="8" t="s">
        <v>9</v>
      </c>
      <c r="D171" s="7" t="s">
        <v>1600</v>
      </c>
      <c r="E171" s="7" t="s">
        <v>845</v>
      </c>
      <c r="F171" s="7" t="s">
        <v>1802</v>
      </c>
      <c r="G171" s="7" t="s">
        <v>1803</v>
      </c>
      <c r="H171" s="7" t="s">
        <v>1804</v>
      </c>
      <c r="I171" s="7" t="s">
        <v>1805</v>
      </c>
      <c r="J171" s="7" t="s">
        <v>1806</v>
      </c>
      <c r="K171" s="7" t="s">
        <v>1807</v>
      </c>
      <c r="L171" s="7" t="s">
        <v>1808</v>
      </c>
      <c r="M171" s="7" t="s">
        <v>1809</v>
      </c>
      <c r="N171" s="7" t="s">
        <v>1810</v>
      </c>
    </row>
    <row r="172" ht="15.75" customHeight="1">
      <c r="A172" s="11" t="s">
        <v>1811</v>
      </c>
      <c r="B172" s="11" t="s">
        <v>1812</v>
      </c>
      <c r="C172" s="8" t="s">
        <v>9</v>
      </c>
      <c r="D172" s="7" t="s">
        <v>1813</v>
      </c>
      <c r="E172" s="7" t="s">
        <v>54</v>
      </c>
      <c r="F172" s="7" t="s">
        <v>1814</v>
      </c>
      <c r="G172" s="7" t="s">
        <v>1815</v>
      </c>
      <c r="H172" s="7" t="s">
        <v>1816</v>
      </c>
      <c r="I172" s="7" t="s">
        <v>1817</v>
      </c>
      <c r="J172" s="7" t="s">
        <v>1818</v>
      </c>
      <c r="K172" s="7" t="s">
        <v>1819</v>
      </c>
      <c r="L172" s="7" t="s">
        <v>1820</v>
      </c>
      <c r="M172" s="7" t="s">
        <v>1821</v>
      </c>
      <c r="N172" s="7" t="s">
        <v>719</v>
      </c>
    </row>
    <row r="173" ht="15.75" customHeight="1">
      <c r="A173" s="11" t="s">
        <v>1822</v>
      </c>
      <c r="B173" s="11" t="s">
        <v>1823</v>
      </c>
      <c r="C173" s="9" t="s">
        <v>12</v>
      </c>
      <c r="D173" s="7" t="s">
        <v>1813</v>
      </c>
      <c r="E173" s="7" t="s">
        <v>54</v>
      </c>
      <c r="F173" s="7" t="s">
        <v>1824</v>
      </c>
      <c r="G173" s="7" t="s">
        <v>1825</v>
      </c>
      <c r="H173" s="7" t="s">
        <v>1826</v>
      </c>
      <c r="I173" s="7" t="s">
        <v>1827</v>
      </c>
      <c r="J173" s="7" t="s">
        <v>1828</v>
      </c>
      <c r="K173" s="7" t="s">
        <v>1829</v>
      </c>
      <c r="L173" s="7" t="s">
        <v>1830</v>
      </c>
      <c r="M173" s="7" t="s">
        <v>1831</v>
      </c>
      <c r="N173" s="7" t="s">
        <v>258</v>
      </c>
    </row>
    <row r="174" ht="15.75" customHeight="1">
      <c r="A174" s="11" t="s">
        <v>1832</v>
      </c>
      <c r="B174" s="11" t="s">
        <v>1833</v>
      </c>
      <c r="C174" s="8" t="s">
        <v>9</v>
      </c>
      <c r="D174" s="7" t="s">
        <v>1813</v>
      </c>
      <c r="E174" s="7" t="s">
        <v>54</v>
      </c>
      <c r="F174" s="7" t="s">
        <v>1834</v>
      </c>
      <c r="G174" s="7" t="s">
        <v>1835</v>
      </c>
      <c r="H174" s="7" t="s">
        <v>1836</v>
      </c>
      <c r="I174" s="7" t="s">
        <v>1837</v>
      </c>
      <c r="J174" s="7" t="s">
        <v>1838</v>
      </c>
      <c r="K174" s="7" t="s">
        <v>1839</v>
      </c>
      <c r="L174" s="7" t="s">
        <v>1840</v>
      </c>
      <c r="M174" s="7" t="s">
        <v>1841</v>
      </c>
      <c r="N174" s="7" t="s">
        <v>74</v>
      </c>
    </row>
    <row r="175" ht="15.75" customHeight="1">
      <c r="A175" s="11" t="s">
        <v>1842</v>
      </c>
      <c r="B175" s="11" t="s">
        <v>1843</v>
      </c>
      <c r="C175" s="9" t="s">
        <v>12</v>
      </c>
      <c r="D175" s="7" t="s">
        <v>1813</v>
      </c>
      <c r="E175" s="7" t="s">
        <v>88</v>
      </c>
      <c r="F175" s="7" t="s">
        <v>1844</v>
      </c>
      <c r="G175" s="7" t="s">
        <v>1845</v>
      </c>
      <c r="H175" s="7" t="s">
        <v>1846</v>
      </c>
      <c r="I175" s="7" t="s">
        <v>1847</v>
      </c>
      <c r="J175" s="7" t="s">
        <v>1848</v>
      </c>
      <c r="K175" s="7" t="s">
        <v>1849</v>
      </c>
      <c r="L175" s="7" t="s">
        <v>1850</v>
      </c>
      <c r="M175" s="7" t="s">
        <v>1851</v>
      </c>
      <c r="N175" s="7" t="s">
        <v>1810</v>
      </c>
    </row>
    <row r="176" ht="15.75" customHeight="1">
      <c r="A176" s="11" t="s">
        <v>1852</v>
      </c>
      <c r="B176" s="11" t="s">
        <v>1853</v>
      </c>
      <c r="C176" s="8" t="s">
        <v>9</v>
      </c>
      <c r="D176" s="7" t="s">
        <v>1813</v>
      </c>
      <c r="E176" s="7" t="s">
        <v>845</v>
      </c>
      <c r="F176" s="7" t="s">
        <v>1854</v>
      </c>
      <c r="G176" s="7" t="s">
        <v>1855</v>
      </c>
      <c r="H176" s="7" t="s">
        <v>1856</v>
      </c>
      <c r="I176" s="7" t="s">
        <v>1857</v>
      </c>
      <c r="J176" s="7" t="s">
        <v>1858</v>
      </c>
      <c r="K176" s="7" t="s">
        <v>1859</v>
      </c>
      <c r="L176" s="7" t="s">
        <v>1860</v>
      </c>
      <c r="M176" s="7" t="s">
        <v>1861</v>
      </c>
      <c r="N176" s="7" t="s">
        <v>480</v>
      </c>
    </row>
    <row r="177" ht="15.75" customHeight="1">
      <c r="A177" s="11" t="s">
        <v>1862</v>
      </c>
      <c r="B177" s="11" t="s">
        <v>1863</v>
      </c>
      <c r="C177" s="8" t="s">
        <v>9</v>
      </c>
      <c r="D177" s="7" t="s">
        <v>1813</v>
      </c>
      <c r="E177" s="7" t="s">
        <v>54</v>
      </c>
      <c r="F177" s="7" t="s">
        <v>1864</v>
      </c>
      <c r="G177" s="7" t="s">
        <v>1865</v>
      </c>
      <c r="H177" s="7" t="s">
        <v>1866</v>
      </c>
      <c r="I177" s="7" t="s">
        <v>1867</v>
      </c>
      <c r="J177" s="7" t="s">
        <v>1868</v>
      </c>
      <c r="K177" s="7" t="s">
        <v>1869</v>
      </c>
      <c r="L177" s="7" t="s">
        <v>1870</v>
      </c>
      <c r="M177" s="7" t="s">
        <v>1871</v>
      </c>
      <c r="N177" s="7" t="s">
        <v>1240</v>
      </c>
    </row>
    <row r="178" ht="15.75" customHeight="1">
      <c r="A178" s="11" t="s">
        <v>1872</v>
      </c>
      <c r="B178" s="11" t="s">
        <v>1873</v>
      </c>
      <c r="C178" s="8" t="s">
        <v>9</v>
      </c>
      <c r="D178" s="7" t="s">
        <v>1813</v>
      </c>
      <c r="E178" s="7" t="s">
        <v>88</v>
      </c>
      <c r="F178" s="7" t="s">
        <v>1874</v>
      </c>
      <c r="G178" s="7" t="s">
        <v>1875</v>
      </c>
      <c r="H178" s="7" t="s">
        <v>1876</v>
      </c>
      <c r="I178" s="7" t="s">
        <v>1877</v>
      </c>
      <c r="J178" s="7" t="s">
        <v>1878</v>
      </c>
      <c r="K178" s="7" t="s">
        <v>1879</v>
      </c>
      <c r="L178" s="7" t="s">
        <v>1880</v>
      </c>
      <c r="M178" s="7" t="s">
        <v>1881</v>
      </c>
      <c r="N178" s="7" t="s">
        <v>1882</v>
      </c>
    </row>
    <row r="179" ht="15.75" customHeight="1">
      <c r="A179" s="11" t="s">
        <v>1883</v>
      </c>
      <c r="B179" s="11" t="s">
        <v>1884</v>
      </c>
      <c r="C179" s="5" t="s">
        <v>6</v>
      </c>
      <c r="D179" s="7" t="s">
        <v>1813</v>
      </c>
      <c r="E179" s="7" t="s">
        <v>88</v>
      </c>
      <c r="F179" s="7" t="s">
        <v>1885</v>
      </c>
      <c r="G179" s="7" t="s">
        <v>1886</v>
      </c>
      <c r="H179" s="7" t="s">
        <v>1887</v>
      </c>
      <c r="I179" s="7" t="s">
        <v>1888</v>
      </c>
      <c r="J179" s="7" t="s">
        <v>1889</v>
      </c>
      <c r="K179" s="7" t="s">
        <v>1890</v>
      </c>
      <c r="L179" s="7" t="s">
        <v>1891</v>
      </c>
      <c r="M179" s="7" t="s">
        <v>1892</v>
      </c>
      <c r="N179" s="7" t="s">
        <v>1882</v>
      </c>
    </row>
    <row r="180" ht="15.75" customHeight="1">
      <c r="A180" s="11" t="s">
        <v>1893</v>
      </c>
      <c r="B180" s="11" t="s">
        <v>1894</v>
      </c>
      <c r="C180" s="5" t="s">
        <v>6</v>
      </c>
      <c r="D180" s="7" t="s">
        <v>1813</v>
      </c>
      <c r="E180" s="7" t="s">
        <v>88</v>
      </c>
      <c r="F180" s="7" t="s">
        <v>1895</v>
      </c>
      <c r="G180" s="7" t="s">
        <v>1896</v>
      </c>
      <c r="H180" s="7" t="s">
        <v>1897</v>
      </c>
      <c r="I180" s="7" t="s">
        <v>1898</v>
      </c>
      <c r="J180" s="7" t="s">
        <v>1899</v>
      </c>
      <c r="K180" s="7" t="s">
        <v>1900</v>
      </c>
      <c r="L180" s="7" t="s">
        <v>1901</v>
      </c>
      <c r="M180" s="7" t="s">
        <v>1902</v>
      </c>
      <c r="N180" s="7" t="s">
        <v>1903</v>
      </c>
    </row>
    <row r="181" ht="15.75" customHeight="1">
      <c r="A181" s="11" t="s">
        <v>1904</v>
      </c>
      <c r="B181" s="11" t="s">
        <v>1905</v>
      </c>
      <c r="C181" s="8" t="s">
        <v>9</v>
      </c>
      <c r="D181" s="7" t="s">
        <v>1813</v>
      </c>
      <c r="E181" s="7" t="s">
        <v>54</v>
      </c>
      <c r="F181" s="7" t="s">
        <v>1906</v>
      </c>
      <c r="G181" s="7" t="s">
        <v>1907</v>
      </c>
      <c r="H181" s="7" t="s">
        <v>1908</v>
      </c>
      <c r="I181" s="7" t="s">
        <v>1909</v>
      </c>
      <c r="J181" s="7" t="s">
        <v>1910</v>
      </c>
      <c r="K181" s="7" t="s">
        <v>1911</v>
      </c>
      <c r="L181" s="7" t="s">
        <v>1912</v>
      </c>
      <c r="M181" s="7" t="s">
        <v>1913</v>
      </c>
      <c r="N181" s="7" t="s">
        <v>270</v>
      </c>
    </row>
    <row r="182" ht="15.75" customHeight="1">
      <c r="A182" s="11" t="s">
        <v>1914</v>
      </c>
      <c r="B182" s="11" t="s">
        <v>1915</v>
      </c>
      <c r="C182" s="9" t="s">
        <v>12</v>
      </c>
      <c r="D182" s="7" t="s">
        <v>1813</v>
      </c>
      <c r="E182" s="7" t="s">
        <v>54</v>
      </c>
      <c r="F182" s="7" t="s">
        <v>1916</v>
      </c>
      <c r="G182" s="7" t="s">
        <v>1917</v>
      </c>
      <c r="H182" s="7" t="s">
        <v>1918</v>
      </c>
      <c r="I182" s="7" t="s">
        <v>1919</v>
      </c>
      <c r="J182" s="7" t="s">
        <v>1920</v>
      </c>
      <c r="K182" s="7" t="s">
        <v>1921</v>
      </c>
      <c r="L182" s="7" t="s">
        <v>1922</v>
      </c>
      <c r="M182" s="7" t="s">
        <v>1923</v>
      </c>
      <c r="N182" s="7" t="s">
        <v>1924</v>
      </c>
    </row>
    <row r="183" ht="15.75" customHeight="1">
      <c r="A183" s="11" t="s">
        <v>1925</v>
      </c>
      <c r="B183" s="11" t="s">
        <v>1926</v>
      </c>
      <c r="C183" s="8" t="s">
        <v>9</v>
      </c>
      <c r="D183" s="7" t="s">
        <v>1813</v>
      </c>
      <c r="E183" s="7" t="s">
        <v>54</v>
      </c>
      <c r="F183" s="7" t="s">
        <v>1927</v>
      </c>
      <c r="G183" s="7" t="s">
        <v>1928</v>
      </c>
      <c r="H183" s="7" t="s">
        <v>1929</v>
      </c>
      <c r="I183" s="7" t="s">
        <v>1930</v>
      </c>
      <c r="J183" s="7" t="s">
        <v>1931</v>
      </c>
      <c r="K183" s="7" t="s">
        <v>1932</v>
      </c>
      <c r="L183" s="7" t="s">
        <v>1933</v>
      </c>
      <c r="M183" s="7" t="s">
        <v>1934</v>
      </c>
      <c r="N183" s="7" t="s">
        <v>247</v>
      </c>
    </row>
    <row r="184" ht="15.75" customHeight="1">
      <c r="A184" s="11" t="s">
        <v>1935</v>
      </c>
      <c r="B184" s="11" t="s">
        <v>1936</v>
      </c>
      <c r="C184" s="8" t="s">
        <v>9</v>
      </c>
      <c r="D184" s="7" t="s">
        <v>1813</v>
      </c>
      <c r="E184" s="7" t="s">
        <v>54</v>
      </c>
      <c r="F184" s="7" t="s">
        <v>1937</v>
      </c>
      <c r="G184" s="7" t="s">
        <v>1938</v>
      </c>
      <c r="H184" s="7" t="s">
        <v>1939</v>
      </c>
      <c r="I184" s="7" t="s">
        <v>1940</v>
      </c>
      <c r="J184" s="7" t="s">
        <v>1941</v>
      </c>
      <c r="K184" s="7" t="s">
        <v>1942</v>
      </c>
      <c r="L184" s="7" t="s">
        <v>1943</v>
      </c>
      <c r="M184" s="7" t="s">
        <v>1944</v>
      </c>
      <c r="N184" s="7" t="s">
        <v>335</v>
      </c>
    </row>
    <row r="185" ht="15.75" customHeight="1">
      <c r="A185" s="11" t="s">
        <v>1945</v>
      </c>
      <c r="B185" s="11" t="s">
        <v>1946</v>
      </c>
      <c r="C185" s="5" t="s">
        <v>6</v>
      </c>
      <c r="D185" s="7" t="s">
        <v>1813</v>
      </c>
      <c r="E185" s="7" t="s">
        <v>54</v>
      </c>
      <c r="F185" s="7" t="s">
        <v>1947</v>
      </c>
      <c r="G185" s="7" t="s">
        <v>1948</v>
      </c>
      <c r="H185" s="7" t="s">
        <v>1949</v>
      </c>
      <c r="I185" s="7" t="s">
        <v>1950</v>
      </c>
      <c r="J185" s="7" t="s">
        <v>1951</v>
      </c>
      <c r="K185" s="7" t="s">
        <v>1952</v>
      </c>
      <c r="L185" s="7" t="s">
        <v>1953</v>
      </c>
      <c r="M185" s="7" t="s">
        <v>1954</v>
      </c>
      <c r="N185" s="7" t="s">
        <v>74</v>
      </c>
    </row>
    <row r="186" ht="15.75" customHeight="1">
      <c r="A186" s="11" t="s">
        <v>1955</v>
      </c>
      <c r="B186" s="11" t="s">
        <v>1956</v>
      </c>
      <c r="C186" s="9" t="s">
        <v>12</v>
      </c>
      <c r="D186" s="7" t="s">
        <v>1813</v>
      </c>
      <c r="E186" s="7" t="s">
        <v>88</v>
      </c>
      <c r="F186" s="7" t="s">
        <v>1957</v>
      </c>
      <c r="G186" s="7" t="s">
        <v>1958</v>
      </c>
      <c r="H186" s="7" t="s">
        <v>1959</v>
      </c>
      <c r="I186" s="7" t="s">
        <v>1960</v>
      </c>
      <c r="J186" s="7" t="s">
        <v>1961</v>
      </c>
      <c r="K186" s="7" t="s">
        <v>1962</v>
      </c>
      <c r="L186" s="7" t="s">
        <v>1963</v>
      </c>
      <c r="M186" s="7" t="s">
        <v>1964</v>
      </c>
      <c r="N186" s="7" t="s">
        <v>1965</v>
      </c>
    </row>
    <row r="187" ht="15.75" customHeight="1">
      <c r="A187" s="11" t="s">
        <v>1966</v>
      </c>
      <c r="B187" s="11" t="s">
        <v>1967</v>
      </c>
      <c r="C187" s="9" t="s">
        <v>12</v>
      </c>
      <c r="D187" s="7" t="s">
        <v>1813</v>
      </c>
      <c r="E187" s="7" t="s">
        <v>54</v>
      </c>
      <c r="F187" s="7" t="s">
        <v>1968</v>
      </c>
      <c r="G187" s="7" t="s">
        <v>1969</v>
      </c>
      <c r="H187" s="7" t="s">
        <v>1970</v>
      </c>
      <c r="I187" s="7" t="s">
        <v>1971</v>
      </c>
      <c r="J187" s="7" t="s">
        <v>1972</v>
      </c>
      <c r="K187" s="7" t="s">
        <v>1973</v>
      </c>
      <c r="L187" s="7" t="s">
        <v>1974</v>
      </c>
      <c r="M187" s="7" t="s">
        <v>1975</v>
      </c>
      <c r="N187" s="7" t="s">
        <v>513</v>
      </c>
    </row>
    <row r="188" ht="15.75" customHeight="1">
      <c r="A188" s="11" t="s">
        <v>1976</v>
      </c>
      <c r="B188" s="11" t="s">
        <v>1977</v>
      </c>
      <c r="C188" s="8" t="s">
        <v>9</v>
      </c>
      <c r="D188" s="7" t="s">
        <v>1813</v>
      </c>
      <c r="E188" s="7" t="s">
        <v>88</v>
      </c>
      <c r="F188" s="7" t="s">
        <v>1978</v>
      </c>
      <c r="G188" s="7" t="s">
        <v>1979</v>
      </c>
      <c r="H188" s="7" t="s">
        <v>1980</v>
      </c>
      <c r="I188" s="7" t="s">
        <v>1981</v>
      </c>
      <c r="J188" s="7" t="s">
        <v>1982</v>
      </c>
      <c r="K188" s="7" t="s">
        <v>1983</v>
      </c>
      <c r="L188" s="7" t="s">
        <v>1984</v>
      </c>
      <c r="M188" s="7" t="s">
        <v>1985</v>
      </c>
      <c r="N188" s="7" t="s">
        <v>117</v>
      </c>
    </row>
    <row r="189" ht="15.75" customHeight="1">
      <c r="A189" s="11" t="s">
        <v>1986</v>
      </c>
      <c r="B189" s="11" t="s">
        <v>1987</v>
      </c>
      <c r="C189" s="5" t="s">
        <v>6</v>
      </c>
      <c r="D189" s="7" t="s">
        <v>1813</v>
      </c>
      <c r="E189" s="7" t="s">
        <v>54</v>
      </c>
      <c r="F189" s="7" t="s">
        <v>1988</v>
      </c>
      <c r="G189" s="7" t="s">
        <v>1989</v>
      </c>
      <c r="H189" s="7" t="s">
        <v>1990</v>
      </c>
      <c r="I189" s="7" t="s">
        <v>1991</v>
      </c>
      <c r="J189" s="7" t="s">
        <v>1992</v>
      </c>
      <c r="K189" s="7" t="s">
        <v>1993</v>
      </c>
      <c r="L189" s="7" t="s">
        <v>1994</v>
      </c>
      <c r="M189" s="7" t="s">
        <v>1995</v>
      </c>
      <c r="N189" s="7" t="s">
        <v>1996</v>
      </c>
    </row>
    <row r="190" ht="15.75" customHeight="1">
      <c r="A190" s="11" t="s">
        <v>1997</v>
      </c>
      <c r="B190" s="11" t="s">
        <v>1998</v>
      </c>
      <c r="C190" s="8" t="s">
        <v>9</v>
      </c>
      <c r="D190" s="7" t="s">
        <v>1813</v>
      </c>
      <c r="E190" s="7" t="s">
        <v>54</v>
      </c>
      <c r="F190" s="7" t="s">
        <v>1999</v>
      </c>
      <c r="G190" s="7" t="s">
        <v>2000</v>
      </c>
      <c r="H190" s="7" t="s">
        <v>2001</v>
      </c>
      <c r="I190" s="7" t="s">
        <v>2002</v>
      </c>
      <c r="J190" s="7" t="s">
        <v>2003</v>
      </c>
      <c r="K190" s="7" t="s">
        <v>2004</v>
      </c>
      <c r="L190" s="7" t="s">
        <v>2005</v>
      </c>
      <c r="M190" s="7" t="s">
        <v>2006</v>
      </c>
      <c r="N190" s="7" t="s">
        <v>1903</v>
      </c>
    </row>
    <row r="191" ht="15.75" customHeight="1">
      <c r="A191" s="11" t="s">
        <v>2007</v>
      </c>
      <c r="B191" s="11" t="s">
        <v>2008</v>
      </c>
      <c r="C191" s="8" t="s">
        <v>9</v>
      </c>
      <c r="D191" s="7" t="s">
        <v>1813</v>
      </c>
      <c r="E191" s="7" t="s">
        <v>54</v>
      </c>
      <c r="F191" s="7" t="s">
        <v>2009</v>
      </c>
      <c r="G191" s="7" t="s">
        <v>2010</v>
      </c>
      <c r="H191" s="7" t="s">
        <v>2011</v>
      </c>
      <c r="I191" s="7" t="s">
        <v>2012</v>
      </c>
      <c r="J191" s="7" t="s">
        <v>2013</v>
      </c>
      <c r="K191" s="7" t="s">
        <v>2014</v>
      </c>
      <c r="L191" s="7" t="s">
        <v>2015</v>
      </c>
      <c r="M191" s="7" t="s">
        <v>2016</v>
      </c>
      <c r="N191" s="7" t="s">
        <v>74</v>
      </c>
    </row>
    <row r="192" ht="15.75" customHeight="1">
      <c r="A192" s="11" t="s">
        <v>2017</v>
      </c>
      <c r="B192" s="11" t="s">
        <v>2018</v>
      </c>
      <c r="C192" s="9" t="s">
        <v>12</v>
      </c>
      <c r="D192" s="7" t="s">
        <v>1813</v>
      </c>
      <c r="E192" s="7" t="s">
        <v>54</v>
      </c>
      <c r="F192" s="7" t="s">
        <v>2019</v>
      </c>
      <c r="G192" s="7" t="s">
        <v>2020</v>
      </c>
      <c r="H192" s="7" t="s">
        <v>2021</v>
      </c>
      <c r="I192" s="7" t="s">
        <v>2022</v>
      </c>
      <c r="J192" s="7" t="s">
        <v>2023</v>
      </c>
      <c r="K192" s="7" t="s">
        <v>2024</v>
      </c>
      <c r="L192" s="7" t="s">
        <v>2025</v>
      </c>
      <c r="M192" s="7" t="s">
        <v>2026</v>
      </c>
      <c r="N192" s="7" t="s">
        <v>74</v>
      </c>
    </row>
    <row r="193" ht="15.75" customHeight="1">
      <c r="A193" s="11" t="s">
        <v>2027</v>
      </c>
      <c r="B193" s="11" t="s">
        <v>2028</v>
      </c>
      <c r="C193" s="9" t="s">
        <v>12</v>
      </c>
      <c r="D193" s="7" t="s">
        <v>2029</v>
      </c>
      <c r="E193" s="7" t="s">
        <v>88</v>
      </c>
      <c r="F193" s="7" t="s">
        <v>2030</v>
      </c>
      <c r="G193" s="7" t="s">
        <v>2031</v>
      </c>
      <c r="H193" s="7" t="s">
        <v>2032</v>
      </c>
      <c r="I193" s="7" t="s">
        <v>2033</v>
      </c>
      <c r="J193" s="7" t="s">
        <v>2034</v>
      </c>
      <c r="K193" s="7" t="s">
        <v>2035</v>
      </c>
      <c r="L193" s="7" t="s">
        <v>2036</v>
      </c>
      <c r="M193" s="7" t="s">
        <v>2037</v>
      </c>
      <c r="N193" s="7" t="s">
        <v>1810</v>
      </c>
    </row>
    <row r="194" ht="15.75" customHeight="1">
      <c r="A194" s="11" t="s">
        <v>2038</v>
      </c>
      <c r="B194" s="11" t="s">
        <v>2039</v>
      </c>
      <c r="C194" s="10" t="s">
        <v>15</v>
      </c>
      <c r="D194" s="7" t="s">
        <v>2029</v>
      </c>
      <c r="E194" s="7" t="s">
        <v>261</v>
      </c>
      <c r="F194" s="7" t="s">
        <v>2040</v>
      </c>
      <c r="G194" s="7" t="s">
        <v>2041</v>
      </c>
      <c r="H194" s="7" t="s">
        <v>2042</v>
      </c>
      <c r="I194" s="7" t="s">
        <v>2043</v>
      </c>
      <c r="J194" s="7" t="s">
        <v>2044</v>
      </c>
      <c r="K194" s="7" t="s">
        <v>2045</v>
      </c>
      <c r="L194" s="7" t="s">
        <v>2046</v>
      </c>
      <c r="M194" s="7" t="s">
        <v>2047</v>
      </c>
      <c r="N194" s="7" t="s">
        <v>2048</v>
      </c>
    </row>
    <row r="195" ht="15.75" customHeight="1">
      <c r="A195" s="11" t="s">
        <v>2049</v>
      </c>
      <c r="B195" s="11" t="s">
        <v>2050</v>
      </c>
      <c r="C195" s="9" t="s">
        <v>12</v>
      </c>
      <c r="D195" s="7" t="s">
        <v>2029</v>
      </c>
      <c r="E195" s="7" t="s">
        <v>88</v>
      </c>
      <c r="F195" s="7" t="s">
        <v>2051</v>
      </c>
      <c r="G195" s="7" t="s">
        <v>2052</v>
      </c>
      <c r="H195" s="7" t="s">
        <v>2053</v>
      </c>
      <c r="I195" s="7" t="s">
        <v>2054</v>
      </c>
      <c r="J195" s="7" t="s">
        <v>2055</v>
      </c>
      <c r="K195" s="7" t="s">
        <v>2056</v>
      </c>
      <c r="L195" s="7" t="s">
        <v>2057</v>
      </c>
      <c r="M195" s="7" t="s">
        <v>2058</v>
      </c>
      <c r="N195" s="7" t="s">
        <v>1406</v>
      </c>
    </row>
    <row r="196" ht="15.75" customHeight="1">
      <c r="A196" s="11" t="s">
        <v>2059</v>
      </c>
      <c r="B196" s="11" t="s">
        <v>2060</v>
      </c>
      <c r="C196" s="8" t="s">
        <v>9</v>
      </c>
      <c r="D196" s="7" t="s">
        <v>2029</v>
      </c>
      <c r="E196" s="7" t="s">
        <v>88</v>
      </c>
      <c r="F196" s="7" t="s">
        <v>2061</v>
      </c>
      <c r="G196" s="7" t="s">
        <v>2062</v>
      </c>
      <c r="H196" s="7" t="s">
        <v>2063</v>
      </c>
      <c r="I196" s="7" t="s">
        <v>2064</v>
      </c>
      <c r="J196" s="7" t="s">
        <v>2065</v>
      </c>
      <c r="K196" s="7" t="s">
        <v>2066</v>
      </c>
      <c r="L196" s="7" t="s">
        <v>2067</v>
      </c>
      <c r="M196" s="7" t="s">
        <v>2068</v>
      </c>
      <c r="N196" s="7" t="s">
        <v>678</v>
      </c>
    </row>
    <row r="197" ht="15.75" customHeight="1">
      <c r="A197" s="11" t="s">
        <v>2069</v>
      </c>
      <c r="B197" s="11" t="s">
        <v>2070</v>
      </c>
      <c r="C197" s="10" t="s">
        <v>15</v>
      </c>
      <c r="D197" s="7" t="s">
        <v>2029</v>
      </c>
      <c r="E197" s="7" t="s">
        <v>88</v>
      </c>
      <c r="F197" s="7" t="s">
        <v>2071</v>
      </c>
      <c r="G197" s="7" t="s">
        <v>2072</v>
      </c>
      <c r="H197" s="7" t="s">
        <v>2073</v>
      </c>
      <c r="I197" s="7" t="s">
        <v>2074</v>
      </c>
      <c r="J197" s="7" t="s">
        <v>2075</v>
      </c>
      <c r="K197" s="7" t="s">
        <v>2076</v>
      </c>
      <c r="L197" s="7" t="s">
        <v>2077</v>
      </c>
      <c r="M197" s="7" t="s">
        <v>2078</v>
      </c>
      <c r="N197" s="7" t="s">
        <v>2079</v>
      </c>
    </row>
    <row r="198" ht="15.75" customHeight="1">
      <c r="A198" s="11" t="s">
        <v>2080</v>
      </c>
      <c r="B198" s="11" t="s">
        <v>2081</v>
      </c>
      <c r="C198" s="8" t="s">
        <v>9</v>
      </c>
      <c r="D198" s="7" t="s">
        <v>2029</v>
      </c>
      <c r="E198" s="7" t="s">
        <v>88</v>
      </c>
      <c r="F198" s="7" t="s">
        <v>2082</v>
      </c>
      <c r="G198" s="7" t="s">
        <v>2083</v>
      </c>
      <c r="H198" s="7" t="s">
        <v>2084</v>
      </c>
      <c r="I198" s="7" t="s">
        <v>2085</v>
      </c>
      <c r="J198" s="7" t="s">
        <v>2086</v>
      </c>
      <c r="K198" s="7" t="s">
        <v>2087</v>
      </c>
      <c r="L198" s="7" t="s">
        <v>2088</v>
      </c>
      <c r="M198" s="7" t="s">
        <v>2089</v>
      </c>
      <c r="N198" s="7" t="s">
        <v>74</v>
      </c>
    </row>
    <row r="199" ht="15.75" customHeight="1">
      <c r="A199" s="11" t="s">
        <v>2090</v>
      </c>
      <c r="B199" s="11" t="s">
        <v>2091</v>
      </c>
      <c r="C199" s="8" t="s">
        <v>9</v>
      </c>
      <c r="D199" s="7" t="s">
        <v>2029</v>
      </c>
      <c r="E199" s="7" t="s">
        <v>88</v>
      </c>
      <c r="F199" s="7" t="s">
        <v>2092</v>
      </c>
      <c r="G199" s="7" t="s">
        <v>2093</v>
      </c>
      <c r="H199" s="7" t="s">
        <v>2094</v>
      </c>
      <c r="I199" s="7" t="s">
        <v>2095</v>
      </c>
      <c r="J199" s="7" t="s">
        <v>2096</v>
      </c>
      <c r="K199" s="7" t="s">
        <v>2097</v>
      </c>
      <c r="L199" s="7" t="s">
        <v>2098</v>
      </c>
      <c r="M199" s="7" t="s">
        <v>2099</v>
      </c>
      <c r="N199" s="7" t="s">
        <v>1882</v>
      </c>
    </row>
    <row r="200" ht="15.75" customHeight="1">
      <c r="A200" s="11" t="s">
        <v>2100</v>
      </c>
      <c r="B200" s="11" t="s">
        <v>2101</v>
      </c>
      <c r="C200" s="8" t="s">
        <v>9</v>
      </c>
      <c r="D200" s="7" t="s">
        <v>2029</v>
      </c>
      <c r="E200" s="7" t="s">
        <v>845</v>
      </c>
      <c r="F200" s="7" t="s">
        <v>2102</v>
      </c>
      <c r="G200" s="7" t="s">
        <v>2103</v>
      </c>
      <c r="H200" s="7" t="s">
        <v>2104</v>
      </c>
      <c r="I200" s="7" t="s">
        <v>2105</v>
      </c>
      <c r="J200" s="7" t="s">
        <v>2106</v>
      </c>
      <c r="K200" s="7" t="s">
        <v>2107</v>
      </c>
      <c r="L200" s="7" t="s">
        <v>2108</v>
      </c>
      <c r="M200" s="7" t="s">
        <v>2109</v>
      </c>
      <c r="N200" s="7" t="s">
        <v>565</v>
      </c>
    </row>
    <row r="201" ht="15.75" customHeight="1">
      <c r="A201" s="11" t="s">
        <v>2110</v>
      </c>
      <c r="B201" s="11" t="s">
        <v>2111</v>
      </c>
      <c r="C201" s="8" t="s">
        <v>9</v>
      </c>
      <c r="D201" s="7" t="s">
        <v>2029</v>
      </c>
      <c r="E201" s="7" t="s">
        <v>358</v>
      </c>
      <c r="F201" s="7" t="s">
        <v>2112</v>
      </c>
      <c r="G201" s="7" t="s">
        <v>2113</v>
      </c>
      <c r="H201" s="7" t="s">
        <v>2114</v>
      </c>
      <c r="I201" s="7" t="s">
        <v>2115</v>
      </c>
      <c r="J201" s="7" t="s">
        <v>2116</v>
      </c>
      <c r="K201" s="7" t="s">
        <v>2117</v>
      </c>
      <c r="L201" s="7" t="s">
        <v>2118</v>
      </c>
      <c r="M201" s="7" t="s">
        <v>2119</v>
      </c>
      <c r="N201" s="7" t="s">
        <v>247</v>
      </c>
    </row>
    <row r="202" ht="15.75" customHeight="1">
      <c r="A202" s="11" t="s">
        <v>2120</v>
      </c>
      <c r="B202" s="11" t="s">
        <v>2121</v>
      </c>
      <c r="C202" s="8" t="s">
        <v>9</v>
      </c>
      <c r="D202" s="7" t="s">
        <v>2029</v>
      </c>
      <c r="E202" s="7" t="s">
        <v>88</v>
      </c>
      <c r="F202" s="7" t="s">
        <v>2122</v>
      </c>
      <c r="G202" s="7" t="s">
        <v>2123</v>
      </c>
      <c r="H202" s="7" t="s">
        <v>2124</v>
      </c>
      <c r="I202" s="7" t="s">
        <v>2125</v>
      </c>
      <c r="J202" s="7" t="s">
        <v>2126</v>
      </c>
      <c r="K202" s="7" t="s">
        <v>2127</v>
      </c>
      <c r="L202" s="7" t="s">
        <v>2128</v>
      </c>
      <c r="M202" s="7" t="s">
        <v>2129</v>
      </c>
      <c r="N202" s="7" t="s">
        <v>1882</v>
      </c>
    </row>
    <row r="203" ht="15.75" customHeight="1">
      <c r="A203" s="11" t="s">
        <v>2130</v>
      </c>
      <c r="B203" s="11" t="s">
        <v>2131</v>
      </c>
      <c r="C203" s="9" t="s">
        <v>12</v>
      </c>
      <c r="D203" s="7" t="s">
        <v>2029</v>
      </c>
      <c r="E203" s="7" t="s">
        <v>54</v>
      </c>
      <c r="F203" s="7" t="s">
        <v>2132</v>
      </c>
      <c r="G203" s="7" t="s">
        <v>2133</v>
      </c>
      <c r="H203" s="7" t="s">
        <v>2134</v>
      </c>
      <c r="I203" s="7" t="s">
        <v>2135</v>
      </c>
      <c r="J203" s="7" t="s">
        <v>2136</v>
      </c>
      <c r="K203" s="7" t="s">
        <v>2137</v>
      </c>
      <c r="L203" s="7" t="s">
        <v>2138</v>
      </c>
      <c r="M203" s="7" t="s">
        <v>2139</v>
      </c>
      <c r="N203" s="7" t="s">
        <v>2140</v>
      </c>
    </row>
    <row r="204" ht="15.75" customHeight="1">
      <c r="A204" s="11" t="s">
        <v>2141</v>
      </c>
      <c r="B204" s="11" t="s">
        <v>2142</v>
      </c>
      <c r="C204" s="10" t="s">
        <v>15</v>
      </c>
      <c r="D204" s="7" t="s">
        <v>2029</v>
      </c>
      <c r="E204" s="7" t="s">
        <v>88</v>
      </c>
      <c r="F204" s="7" t="s">
        <v>2143</v>
      </c>
      <c r="G204" s="7" t="s">
        <v>2144</v>
      </c>
      <c r="H204" s="7" t="s">
        <v>2145</v>
      </c>
      <c r="I204" s="7" t="s">
        <v>2146</v>
      </c>
      <c r="J204" s="7" t="s">
        <v>2147</v>
      </c>
      <c r="K204" s="7" t="s">
        <v>2148</v>
      </c>
      <c r="L204" s="7" t="s">
        <v>2149</v>
      </c>
      <c r="M204" s="7" t="s">
        <v>2150</v>
      </c>
      <c r="N204" s="7" t="s">
        <v>1882</v>
      </c>
    </row>
    <row r="205" ht="15.75" customHeight="1">
      <c r="A205" s="11" t="s">
        <v>2151</v>
      </c>
      <c r="B205" s="11" t="s">
        <v>2152</v>
      </c>
      <c r="C205" s="10" t="s">
        <v>15</v>
      </c>
      <c r="D205" s="7" t="s">
        <v>2029</v>
      </c>
      <c r="E205" s="7" t="s">
        <v>261</v>
      </c>
      <c r="F205" s="7" t="s">
        <v>2153</v>
      </c>
      <c r="G205" s="7" t="s">
        <v>2154</v>
      </c>
      <c r="H205" s="7" t="s">
        <v>2155</v>
      </c>
      <c r="I205" s="7" t="s">
        <v>2156</v>
      </c>
      <c r="J205" s="7" t="s">
        <v>2157</v>
      </c>
      <c r="K205" s="7" t="s">
        <v>2158</v>
      </c>
      <c r="L205" s="7" t="s">
        <v>2159</v>
      </c>
      <c r="M205" s="7" t="s">
        <v>2160</v>
      </c>
      <c r="N205" s="7" t="s">
        <v>2079</v>
      </c>
    </row>
    <row r="206" ht="15.75" customHeight="1">
      <c r="A206" s="11" t="s">
        <v>2161</v>
      </c>
      <c r="B206" s="11" t="s">
        <v>2162</v>
      </c>
      <c r="C206" s="8" t="s">
        <v>9</v>
      </c>
      <c r="D206" s="7" t="s">
        <v>2029</v>
      </c>
      <c r="E206" s="7" t="s">
        <v>54</v>
      </c>
      <c r="F206" s="7" t="s">
        <v>2163</v>
      </c>
      <c r="G206" s="7" t="s">
        <v>2164</v>
      </c>
      <c r="H206" s="7" t="s">
        <v>2165</v>
      </c>
      <c r="I206" s="7" t="s">
        <v>2166</v>
      </c>
      <c r="J206" s="7" t="s">
        <v>2167</v>
      </c>
      <c r="K206" s="7" t="s">
        <v>2168</v>
      </c>
      <c r="L206" s="7" t="s">
        <v>2169</v>
      </c>
      <c r="M206" s="7" t="s">
        <v>2170</v>
      </c>
      <c r="N206" s="7" t="s">
        <v>667</v>
      </c>
    </row>
    <row r="207" ht="15.75" customHeight="1">
      <c r="A207" s="11" t="s">
        <v>2171</v>
      </c>
      <c r="B207" s="11" t="s">
        <v>2172</v>
      </c>
      <c r="C207" s="9" t="s">
        <v>12</v>
      </c>
      <c r="D207" s="7" t="s">
        <v>2029</v>
      </c>
      <c r="E207" s="7" t="s">
        <v>54</v>
      </c>
      <c r="F207" s="7" t="s">
        <v>2173</v>
      </c>
      <c r="G207" s="7" t="s">
        <v>2174</v>
      </c>
      <c r="H207" s="7" t="s">
        <v>2175</v>
      </c>
      <c r="I207" s="7" t="s">
        <v>2176</v>
      </c>
      <c r="J207" s="7" t="s">
        <v>2177</v>
      </c>
      <c r="K207" s="7" t="s">
        <v>2178</v>
      </c>
      <c r="L207" s="7" t="s">
        <v>2179</v>
      </c>
      <c r="M207" s="7" t="s">
        <v>2180</v>
      </c>
      <c r="N207" s="7" t="s">
        <v>565</v>
      </c>
    </row>
    <row r="208" ht="15.75" customHeight="1">
      <c r="A208" s="11" t="s">
        <v>2181</v>
      </c>
      <c r="B208" s="11" t="s">
        <v>2182</v>
      </c>
      <c r="C208" s="8" t="s">
        <v>9</v>
      </c>
      <c r="D208" s="7" t="s">
        <v>2029</v>
      </c>
      <c r="E208" s="7" t="s">
        <v>358</v>
      </c>
      <c r="F208" s="7" t="s">
        <v>2183</v>
      </c>
      <c r="G208" s="7" t="s">
        <v>2184</v>
      </c>
      <c r="H208" s="7" t="s">
        <v>2185</v>
      </c>
      <c r="I208" s="7" t="s">
        <v>2186</v>
      </c>
      <c r="J208" s="7" t="s">
        <v>2187</v>
      </c>
      <c r="K208" s="7" t="s">
        <v>2188</v>
      </c>
      <c r="L208" s="7" t="s">
        <v>2189</v>
      </c>
      <c r="M208" s="7" t="s">
        <v>2190</v>
      </c>
      <c r="N208" s="7" t="s">
        <v>1882</v>
      </c>
    </row>
    <row r="209" ht="15.75" customHeight="1">
      <c r="A209" s="11" t="s">
        <v>2191</v>
      </c>
      <c r="B209" s="11" t="s">
        <v>2192</v>
      </c>
      <c r="C209" s="5" t="s">
        <v>6</v>
      </c>
      <c r="D209" s="7" t="s">
        <v>2029</v>
      </c>
      <c r="E209" s="7" t="s">
        <v>88</v>
      </c>
      <c r="F209" s="7" t="s">
        <v>2193</v>
      </c>
      <c r="G209" s="7" t="s">
        <v>2194</v>
      </c>
      <c r="H209" s="7" t="s">
        <v>2195</v>
      </c>
      <c r="I209" s="7" t="s">
        <v>2196</v>
      </c>
      <c r="J209" s="7" t="s">
        <v>2197</v>
      </c>
      <c r="K209" s="7" t="s">
        <v>2198</v>
      </c>
      <c r="L209" s="7" t="s">
        <v>2199</v>
      </c>
      <c r="M209" s="7" t="s">
        <v>2200</v>
      </c>
      <c r="N209" s="7" t="s">
        <v>2201</v>
      </c>
    </row>
    <row r="210" ht="15.75" customHeight="1">
      <c r="A210" s="11" t="s">
        <v>2202</v>
      </c>
      <c r="B210" s="11" t="s">
        <v>2203</v>
      </c>
      <c r="C210" s="5" t="s">
        <v>6</v>
      </c>
      <c r="D210" s="7" t="s">
        <v>2029</v>
      </c>
      <c r="E210" s="7" t="s">
        <v>54</v>
      </c>
      <c r="F210" s="7" t="s">
        <v>2204</v>
      </c>
      <c r="G210" s="7" t="s">
        <v>2205</v>
      </c>
      <c r="H210" s="7" t="s">
        <v>2206</v>
      </c>
      <c r="I210" s="7" t="s">
        <v>2207</v>
      </c>
      <c r="J210" s="7" t="s">
        <v>2208</v>
      </c>
      <c r="K210" s="7" t="s">
        <v>2209</v>
      </c>
      <c r="L210" s="7" t="s">
        <v>2210</v>
      </c>
      <c r="M210" s="7" t="s">
        <v>2211</v>
      </c>
      <c r="N210" s="7" t="s">
        <v>1965</v>
      </c>
    </row>
    <row r="211" ht="15.75" customHeight="1">
      <c r="A211" s="11" t="s">
        <v>2212</v>
      </c>
      <c r="B211" s="11" t="s">
        <v>2213</v>
      </c>
      <c r="C211" s="5" t="s">
        <v>6</v>
      </c>
      <c r="D211" s="7" t="s">
        <v>2029</v>
      </c>
      <c r="E211" s="7" t="s">
        <v>88</v>
      </c>
      <c r="F211" s="7" t="s">
        <v>2214</v>
      </c>
      <c r="G211" s="7" t="s">
        <v>2215</v>
      </c>
      <c r="H211" s="7" t="s">
        <v>2216</v>
      </c>
      <c r="I211" s="7" t="s">
        <v>2217</v>
      </c>
      <c r="J211" s="7" t="s">
        <v>2218</v>
      </c>
      <c r="K211" s="7" t="s">
        <v>2219</v>
      </c>
      <c r="L211" s="7" t="s">
        <v>2220</v>
      </c>
      <c r="M211" s="7" t="s">
        <v>2221</v>
      </c>
      <c r="N211" s="7" t="s">
        <v>74</v>
      </c>
    </row>
    <row r="212" ht="15.75" customHeight="1">
      <c r="A212" s="11" t="s">
        <v>2222</v>
      </c>
      <c r="B212" s="11" t="s">
        <v>2223</v>
      </c>
      <c r="C212" s="9" t="s">
        <v>12</v>
      </c>
      <c r="D212" s="7" t="s">
        <v>2029</v>
      </c>
      <c r="E212" s="7" t="s">
        <v>88</v>
      </c>
      <c r="F212" s="7" t="s">
        <v>2224</v>
      </c>
      <c r="G212" s="7" t="s">
        <v>2225</v>
      </c>
      <c r="H212" s="7" t="s">
        <v>2226</v>
      </c>
      <c r="I212" s="7" t="s">
        <v>2227</v>
      </c>
      <c r="J212" s="7" t="s">
        <v>2228</v>
      </c>
      <c r="K212" s="7" t="s">
        <v>2229</v>
      </c>
      <c r="L212" s="7" t="s">
        <v>2230</v>
      </c>
      <c r="M212" s="7" t="s">
        <v>2231</v>
      </c>
      <c r="N212" s="7" t="s">
        <v>1965</v>
      </c>
    </row>
    <row r="213" ht="15.75" customHeight="1">
      <c r="A213" s="11" t="s">
        <v>2232</v>
      </c>
      <c r="B213" s="11" t="s">
        <v>2233</v>
      </c>
      <c r="C213" s="9" t="s">
        <v>12</v>
      </c>
      <c r="D213" s="7" t="s">
        <v>2029</v>
      </c>
      <c r="E213" s="7" t="s">
        <v>54</v>
      </c>
      <c r="F213" s="7" t="s">
        <v>2234</v>
      </c>
      <c r="G213" s="7" t="s">
        <v>2235</v>
      </c>
      <c r="H213" s="7" t="s">
        <v>2236</v>
      </c>
      <c r="I213" s="7" t="s">
        <v>2237</v>
      </c>
      <c r="J213" s="7" t="s">
        <v>2238</v>
      </c>
      <c r="K213" s="7" t="s">
        <v>2239</v>
      </c>
      <c r="L213" s="7" t="s">
        <v>2240</v>
      </c>
      <c r="M213" s="7" t="s">
        <v>2241</v>
      </c>
      <c r="N213" s="7" t="s">
        <v>314</v>
      </c>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213"/>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42.0"/>
    <col customWidth="1" min="3" max="3" width="70.0"/>
    <col customWidth="1" min="4" max="26" width="8.71"/>
  </cols>
  <sheetData>
    <row r="1">
      <c r="A1" s="1" t="s">
        <v>2242</v>
      </c>
    </row>
    <row r="2">
      <c r="A2" s="12" t="s">
        <v>2243</v>
      </c>
    </row>
    <row r="4">
      <c r="A4" s="3" t="s">
        <v>2244</v>
      </c>
    </row>
    <row r="5">
      <c r="A5" s="4" t="s">
        <v>2245</v>
      </c>
      <c r="B5" s="4" t="s">
        <v>2246</v>
      </c>
      <c r="C5" s="4" t="s">
        <v>2247</v>
      </c>
    </row>
    <row r="6">
      <c r="A6" s="11" t="s">
        <v>2248</v>
      </c>
      <c r="B6" s="7" t="s">
        <v>2249</v>
      </c>
      <c r="C6" s="7" t="s">
        <v>2250</v>
      </c>
    </row>
    <row r="7">
      <c r="A7" s="11" t="s">
        <v>2251</v>
      </c>
      <c r="B7" s="7" t="s">
        <v>2252</v>
      </c>
      <c r="C7" s="7" t="s">
        <v>2253</v>
      </c>
    </row>
    <row r="8">
      <c r="A8" s="11" t="s">
        <v>2254</v>
      </c>
      <c r="B8" s="7" t="s">
        <v>2255</v>
      </c>
      <c r="C8" s="7" t="s">
        <v>2256</v>
      </c>
    </row>
    <row r="9">
      <c r="A9" s="11" t="s">
        <v>2257</v>
      </c>
      <c r="B9" s="7" t="s">
        <v>2258</v>
      </c>
      <c r="C9" s="7" t="s">
        <v>2259</v>
      </c>
    </row>
    <row r="10">
      <c r="A10" s="11" t="s">
        <v>2260</v>
      </c>
      <c r="B10" s="7" t="s">
        <v>2261</v>
      </c>
      <c r="C10" s="7" t="s">
        <v>2262</v>
      </c>
    </row>
    <row r="11">
      <c r="A11" s="11" t="s">
        <v>2263</v>
      </c>
      <c r="B11" s="7" t="s">
        <v>2264</v>
      </c>
      <c r="C11" s="7" t="s">
        <v>2265</v>
      </c>
    </row>
    <row r="12">
      <c r="A12" s="11" t="s">
        <v>2266</v>
      </c>
      <c r="B12" s="7" t="s">
        <v>2267</v>
      </c>
      <c r="C12" s="7" t="s">
        <v>2268</v>
      </c>
    </row>
    <row r="14">
      <c r="A14" s="3" t="s">
        <v>2269</v>
      </c>
    </row>
    <row r="15">
      <c r="A15" s="4" t="s">
        <v>2270</v>
      </c>
      <c r="B15" s="4" t="s">
        <v>2271</v>
      </c>
      <c r="C15" s="4" t="s">
        <v>2272</v>
      </c>
    </row>
    <row r="16">
      <c r="A16" s="11" t="s">
        <v>2273</v>
      </c>
      <c r="B16" s="7" t="s">
        <v>2274</v>
      </c>
      <c r="C16" s="7" t="s">
        <v>2275</v>
      </c>
    </row>
    <row r="17">
      <c r="A17" s="11" t="s">
        <v>2276</v>
      </c>
      <c r="B17" s="7" t="s">
        <v>2277</v>
      </c>
      <c r="C17" s="7" t="s">
        <v>2278</v>
      </c>
    </row>
    <row r="18">
      <c r="A18" s="11" t="s">
        <v>2279</v>
      </c>
      <c r="B18" s="7" t="s">
        <v>2280</v>
      </c>
      <c r="C18" s="7" t="s">
        <v>2281</v>
      </c>
    </row>
    <row r="19">
      <c r="A19" s="11" t="s">
        <v>2282</v>
      </c>
      <c r="B19" s="7" t="s">
        <v>2283</v>
      </c>
      <c r="C19" s="7" t="s">
        <v>2284</v>
      </c>
    </row>
    <row r="20">
      <c r="A20" s="11" t="s">
        <v>2285</v>
      </c>
      <c r="B20" s="7" t="s">
        <v>2286</v>
      </c>
      <c r="C20" s="7" t="s">
        <v>2287</v>
      </c>
    </row>
    <row r="21" ht="15.75" customHeight="1">
      <c r="A21" s="11" t="s">
        <v>2288</v>
      </c>
      <c r="B21" s="7" t="s">
        <v>2289</v>
      </c>
      <c r="C21" s="7" t="s">
        <v>2290</v>
      </c>
    </row>
    <row r="22" ht="15.75" customHeight="1">
      <c r="A22" s="11" t="s">
        <v>2291</v>
      </c>
      <c r="B22" s="7" t="s">
        <v>2292</v>
      </c>
      <c r="C22" s="7" t="s">
        <v>2293</v>
      </c>
    </row>
    <row r="23" ht="15.75" customHeight="1">
      <c r="A23" s="11" t="s">
        <v>2294</v>
      </c>
      <c r="B23" s="7" t="s">
        <v>2295</v>
      </c>
      <c r="C23" s="7" t="s">
        <v>2296</v>
      </c>
    </row>
    <row r="24" ht="15.75" customHeight="1">
      <c r="A24" s="11" t="s">
        <v>2297</v>
      </c>
      <c r="B24" s="7" t="s">
        <v>2298</v>
      </c>
      <c r="C24" s="7" t="s">
        <v>2299</v>
      </c>
    </row>
    <row r="25" ht="15.75" customHeight="1"/>
    <row r="26" ht="15.75" customHeight="1">
      <c r="A26" s="3" t="s">
        <v>2300</v>
      </c>
    </row>
    <row r="27" ht="15.75" customHeight="1">
      <c r="A27" s="12" t="s">
        <v>2301</v>
      </c>
    </row>
    <row r="28" ht="15.75" customHeight="1">
      <c r="A28" s="12" t="s">
        <v>2302</v>
      </c>
    </row>
    <row r="29" ht="15.75" customHeight="1">
      <c r="A29" s="12" t="s">
        <v>2303</v>
      </c>
    </row>
    <row r="30" ht="15.75" customHeight="1">
      <c r="A30" s="12" t="s">
        <v>2304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6.0"/>
    <col customWidth="1" min="2" max="3" width="14.0"/>
    <col customWidth="1" min="4" max="4" width="16.0"/>
    <col customWidth="1" min="5" max="5" width="14.0"/>
    <col customWidth="1" min="6" max="6" width="12.0"/>
    <col customWidth="1" min="7" max="26" width="8.71"/>
  </cols>
  <sheetData>
    <row r="1">
      <c r="A1" s="1" t="s">
        <v>2305</v>
      </c>
      <c r="B1" s="13"/>
      <c r="C1" s="13"/>
      <c r="D1" s="13"/>
      <c r="E1" s="13"/>
      <c r="F1" s="13"/>
    </row>
    <row r="2">
      <c r="B2" s="13"/>
      <c r="C2" s="13"/>
      <c r="D2" s="13"/>
      <c r="E2" s="13"/>
      <c r="F2" s="13"/>
    </row>
    <row r="3">
      <c r="A3" s="4" t="s">
        <v>40</v>
      </c>
      <c r="B3" s="14" t="s">
        <v>6</v>
      </c>
      <c r="C3" s="14" t="s">
        <v>9</v>
      </c>
      <c r="D3" s="14" t="s">
        <v>12</v>
      </c>
      <c r="E3" s="14" t="s">
        <v>15</v>
      </c>
      <c r="F3" s="14" t="s">
        <v>18</v>
      </c>
    </row>
    <row r="4">
      <c r="A4" s="11" t="s">
        <v>53</v>
      </c>
      <c r="B4" s="15">
        <f>COUNTIFS(Problems!$D:$D,$A4,Problems!$C:$C,B$3)</f>
        <v>7</v>
      </c>
      <c r="C4" s="15">
        <f>COUNTIFS(Problems!$D:$D,$A4,Problems!$C:$C,C$3)</f>
        <v>7</v>
      </c>
      <c r="D4" s="15">
        <f>COUNTIFS(Problems!$D:$D,$A4,Problems!$C:$C,D$3)</f>
        <v>7</v>
      </c>
      <c r="E4" s="15">
        <f>COUNTIFS(Problems!$D:$D,$A4,Problems!$C:$C,E$3)</f>
        <v>0</v>
      </c>
      <c r="F4" s="15">
        <f t="shared" ref="F4:F13" si="1">SUM(B4:E4)</f>
        <v>21</v>
      </c>
    </row>
    <row r="5">
      <c r="A5" s="11" t="s">
        <v>284</v>
      </c>
      <c r="B5" s="15">
        <f>COUNTIFS(Problems!$D:$D,$A5,Problems!$C:$C,B$3)</f>
        <v>5</v>
      </c>
      <c r="C5" s="15">
        <f>COUNTIFS(Problems!$D:$D,$A5,Problems!$C:$C,C$3)</f>
        <v>9</v>
      </c>
      <c r="D5" s="15">
        <f>COUNTIFS(Problems!$D:$D,$A5,Problems!$C:$C,D$3)</f>
        <v>5</v>
      </c>
      <c r="E5" s="15">
        <f>COUNTIFS(Problems!$D:$D,$A5,Problems!$C:$C,E$3)</f>
        <v>2</v>
      </c>
      <c r="F5" s="15">
        <f t="shared" si="1"/>
        <v>21</v>
      </c>
    </row>
    <row r="6">
      <c r="A6" s="11" t="s">
        <v>504</v>
      </c>
      <c r="B6" s="15">
        <f>COUNTIFS(Problems!$D:$D,$A6,Problems!$C:$C,B$3)</f>
        <v>5</v>
      </c>
      <c r="C6" s="15">
        <f>COUNTIFS(Problems!$D:$D,$A6,Problems!$C:$C,C$3)</f>
        <v>10</v>
      </c>
      <c r="D6" s="15">
        <f>COUNTIFS(Problems!$D:$D,$A6,Problems!$C:$C,D$3)</f>
        <v>5</v>
      </c>
      <c r="E6" s="15">
        <f>COUNTIFS(Problems!$D:$D,$A6,Problems!$C:$C,E$3)</f>
        <v>1</v>
      </c>
      <c r="F6" s="15">
        <f t="shared" si="1"/>
        <v>21</v>
      </c>
    </row>
    <row r="7">
      <c r="A7" s="11" t="s">
        <v>722</v>
      </c>
      <c r="B7" s="15">
        <f>COUNTIFS(Problems!$D:$D,$A7,Problems!$C:$C,B$3)</f>
        <v>4</v>
      </c>
      <c r="C7" s="15">
        <f>COUNTIFS(Problems!$D:$D,$A7,Problems!$C:$C,C$3)</f>
        <v>12</v>
      </c>
      <c r="D7" s="15">
        <f>COUNTIFS(Problems!$D:$D,$A7,Problems!$C:$C,D$3)</f>
        <v>4</v>
      </c>
      <c r="E7" s="15">
        <f>COUNTIFS(Problems!$D:$D,$A7,Problems!$C:$C,E$3)</f>
        <v>1</v>
      </c>
      <c r="F7" s="15">
        <f t="shared" si="1"/>
        <v>21</v>
      </c>
    </row>
    <row r="8">
      <c r="A8" s="11" t="s">
        <v>937</v>
      </c>
      <c r="B8" s="15">
        <f>COUNTIFS(Problems!$D:$D,$A8,Problems!$C:$C,B$3)</f>
        <v>8</v>
      </c>
      <c r="C8" s="15">
        <f>COUNTIFS(Problems!$D:$D,$A8,Problems!$C:$C,C$3)</f>
        <v>8</v>
      </c>
      <c r="D8" s="15">
        <f>COUNTIFS(Problems!$D:$D,$A8,Problems!$C:$C,D$3)</f>
        <v>5</v>
      </c>
      <c r="E8" s="15">
        <f>COUNTIFS(Problems!$D:$D,$A8,Problems!$C:$C,E$3)</f>
        <v>0</v>
      </c>
      <c r="F8" s="15">
        <f t="shared" si="1"/>
        <v>21</v>
      </c>
    </row>
    <row r="9">
      <c r="A9" s="11" t="s">
        <v>1150</v>
      </c>
      <c r="B9" s="15">
        <f>COUNTIFS(Problems!$D:$D,$A9,Problems!$C:$C,B$3)</f>
        <v>4</v>
      </c>
      <c r="C9" s="15">
        <f>COUNTIFS(Problems!$D:$D,$A9,Problems!$C:$C,C$3)</f>
        <v>12</v>
      </c>
      <c r="D9" s="15">
        <f>COUNTIFS(Problems!$D:$D,$A9,Problems!$C:$C,D$3)</f>
        <v>5</v>
      </c>
      <c r="E9" s="15">
        <f>COUNTIFS(Problems!$D:$D,$A9,Problems!$C:$C,E$3)</f>
        <v>1</v>
      </c>
      <c r="F9" s="15">
        <f t="shared" si="1"/>
        <v>22</v>
      </c>
    </row>
    <row r="10">
      <c r="A10" s="11" t="s">
        <v>1376</v>
      </c>
      <c r="B10" s="15">
        <f>COUNTIFS(Problems!$D:$D,$A10,Problems!$C:$C,B$3)</f>
        <v>4</v>
      </c>
      <c r="C10" s="15">
        <f>COUNTIFS(Problems!$D:$D,$A10,Problems!$C:$C,C$3)</f>
        <v>11</v>
      </c>
      <c r="D10" s="15">
        <f>COUNTIFS(Problems!$D:$D,$A10,Problems!$C:$C,D$3)</f>
        <v>5</v>
      </c>
      <c r="E10" s="15">
        <f>COUNTIFS(Problems!$D:$D,$A10,Problems!$C:$C,E$3)</f>
        <v>2</v>
      </c>
      <c r="F10" s="15">
        <f t="shared" si="1"/>
        <v>22</v>
      </c>
    </row>
    <row r="11">
      <c r="A11" s="11" t="s">
        <v>1600</v>
      </c>
      <c r="B11" s="15">
        <f>COUNTIFS(Problems!$D:$D,$A11,Problems!$C:$C,B$3)</f>
        <v>9</v>
      </c>
      <c r="C11" s="15">
        <f>COUNTIFS(Problems!$D:$D,$A11,Problems!$C:$C,C$3)</f>
        <v>10</v>
      </c>
      <c r="D11" s="15">
        <f>COUNTIFS(Problems!$D:$D,$A11,Problems!$C:$C,D$3)</f>
        <v>2</v>
      </c>
      <c r="E11" s="15">
        <f>COUNTIFS(Problems!$D:$D,$A11,Problems!$C:$C,E$3)</f>
        <v>0</v>
      </c>
      <c r="F11" s="15">
        <f t="shared" si="1"/>
        <v>21</v>
      </c>
    </row>
    <row r="12">
      <c r="A12" s="11" t="s">
        <v>1813</v>
      </c>
      <c r="B12" s="15">
        <f>COUNTIFS(Problems!$D:$D,$A12,Problems!$C:$C,B$3)</f>
        <v>4</v>
      </c>
      <c r="C12" s="15">
        <f>COUNTIFS(Problems!$D:$D,$A12,Problems!$C:$C,C$3)</f>
        <v>11</v>
      </c>
      <c r="D12" s="15">
        <f>COUNTIFS(Problems!$D:$D,$A12,Problems!$C:$C,D$3)</f>
        <v>6</v>
      </c>
      <c r="E12" s="15">
        <f>COUNTIFS(Problems!$D:$D,$A12,Problems!$C:$C,E$3)</f>
        <v>0</v>
      </c>
      <c r="F12" s="15">
        <f t="shared" si="1"/>
        <v>21</v>
      </c>
    </row>
    <row r="13">
      <c r="A13" s="11" t="s">
        <v>2029</v>
      </c>
      <c r="B13" s="15">
        <f>COUNTIFS(Problems!$D:$D,$A13,Problems!$C:$C,B$3)</f>
        <v>3</v>
      </c>
      <c r="C13" s="15">
        <f>COUNTIFS(Problems!$D:$D,$A13,Problems!$C:$C,C$3)</f>
        <v>8</v>
      </c>
      <c r="D13" s="15">
        <f>COUNTIFS(Problems!$D:$D,$A13,Problems!$C:$C,D$3)</f>
        <v>6</v>
      </c>
      <c r="E13" s="15">
        <f>COUNTIFS(Problems!$D:$D,$A13,Problems!$C:$C,E$3)</f>
        <v>4</v>
      </c>
      <c r="F13" s="15">
        <f t="shared" si="1"/>
        <v>21</v>
      </c>
    </row>
    <row r="14">
      <c r="A14" s="11" t="s">
        <v>18</v>
      </c>
      <c r="B14" s="16">
        <f t="shared" ref="B14:F14" si="2">SUM(B4:B13)</f>
        <v>53</v>
      </c>
      <c r="C14" s="16">
        <f t="shared" si="2"/>
        <v>98</v>
      </c>
      <c r="D14" s="16">
        <f t="shared" si="2"/>
        <v>50</v>
      </c>
      <c r="E14" s="16">
        <f t="shared" si="2"/>
        <v>11</v>
      </c>
      <c r="F14" s="16">
        <f t="shared" si="2"/>
        <v>212</v>
      </c>
    </row>
    <row r="15">
      <c r="B15" s="13"/>
      <c r="C15" s="13"/>
      <c r="D15" s="13"/>
      <c r="E15" s="13"/>
      <c r="F15" s="13"/>
    </row>
    <row r="16">
      <c r="B16" s="13"/>
      <c r="C16" s="13"/>
      <c r="D16" s="13"/>
      <c r="E16" s="13"/>
      <c r="F16" s="13"/>
    </row>
    <row r="17">
      <c r="B17" s="13"/>
      <c r="C17" s="13"/>
      <c r="D17" s="13"/>
      <c r="E17" s="13"/>
      <c r="F17" s="13"/>
    </row>
    <row r="18">
      <c r="B18" s="13"/>
      <c r="C18" s="13"/>
      <c r="D18" s="13"/>
      <c r="E18" s="13"/>
      <c r="F18" s="13"/>
    </row>
    <row r="19">
      <c r="B19" s="13"/>
      <c r="C19" s="13"/>
      <c r="D19" s="13"/>
      <c r="E19" s="13"/>
      <c r="F19" s="13"/>
    </row>
    <row r="20">
      <c r="B20" s="13"/>
      <c r="C20" s="13"/>
      <c r="D20" s="13"/>
      <c r="E20" s="13"/>
      <c r="F20" s="13"/>
    </row>
    <row r="21" ht="15.75" customHeight="1">
      <c r="B21" s="13"/>
      <c r="C21" s="13"/>
      <c r="D21" s="13"/>
      <c r="E21" s="13"/>
      <c r="F21" s="13"/>
    </row>
    <row r="22" ht="15.75" customHeight="1">
      <c r="B22" s="13"/>
      <c r="C22" s="13"/>
      <c r="D22" s="13"/>
      <c r="E22" s="13"/>
      <c r="F22" s="13"/>
    </row>
    <row r="23" ht="15.75" customHeight="1">
      <c r="B23" s="13"/>
      <c r="C23" s="13"/>
      <c r="D23" s="13"/>
      <c r="E23" s="13"/>
      <c r="F23" s="13"/>
    </row>
    <row r="24" ht="15.75" customHeight="1">
      <c r="B24" s="13"/>
      <c r="C24" s="13"/>
      <c r="D24" s="13"/>
      <c r="E24" s="13"/>
      <c r="F24" s="13"/>
    </row>
    <row r="25" ht="15.75" customHeight="1">
      <c r="B25" s="13"/>
      <c r="C25" s="13"/>
      <c r="D25" s="13"/>
      <c r="E25" s="13"/>
      <c r="F25" s="13"/>
    </row>
    <row r="26" ht="15.75" customHeight="1">
      <c r="B26" s="13"/>
      <c r="C26" s="13"/>
      <c r="D26" s="13"/>
      <c r="E26" s="13"/>
      <c r="F26" s="13"/>
    </row>
    <row r="27" ht="15.75" customHeight="1">
      <c r="B27" s="13"/>
      <c r="C27" s="13"/>
      <c r="D27" s="13"/>
      <c r="E27" s="13"/>
      <c r="F27" s="13"/>
    </row>
    <row r="28" ht="15.75" customHeight="1">
      <c r="B28" s="13"/>
      <c r="C28" s="13"/>
      <c r="D28" s="13"/>
      <c r="E28" s="13"/>
      <c r="F28" s="13"/>
    </row>
    <row r="29" ht="15.75" customHeight="1">
      <c r="B29" s="13"/>
      <c r="C29" s="13"/>
      <c r="D29" s="13"/>
      <c r="E29" s="13"/>
      <c r="F29" s="13"/>
    </row>
    <row r="30" ht="15.75" customHeight="1">
      <c r="B30" s="13"/>
      <c r="C30" s="13"/>
      <c r="D30" s="13"/>
      <c r="E30" s="13"/>
      <c r="F30" s="13"/>
    </row>
    <row r="31" ht="15.75" customHeight="1">
      <c r="B31" s="13"/>
      <c r="C31" s="13"/>
      <c r="D31" s="13"/>
      <c r="E31" s="13"/>
      <c r="F31" s="13"/>
    </row>
    <row r="32" ht="15.75" customHeight="1">
      <c r="B32" s="13"/>
      <c r="C32" s="13"/>
      <c r="D32" s="13"/>
      <c r="E32" s="13"/>
      <c r="F32" s="13"/>
    </row>
    <row r="33" ht="15.75" customHeight="1">
      <c r="B33" s="13"/>
      <c r="C33" s="13"/>
      <c r="D33" s="13"/>
      <c r="E33" s="13"/>
      <c r="F33" s="13"/>
    </row>
    <row r="34" ht="15.75" customHeight="1">
      <c r="B34" s="13"/>
      <c r="C34" s="13"/>
      <c r="D34" s="13"/>
      <c r="E34" s="13"/>
      <c r="F34" s="13"/>
    </row>
    <row r="35" ht="15.75" customHeight="1">
      <c r="B35" s="13"/>
      <c r="C35" s="13"/>
      <c r="D35" s="13"/>
      <c r="E35" s="13"/>
      <c r="F35" s="13"/>
    </row>
    <row r="36" ht="15.75" customHeight="1">
      <c r="B36" s="13"/>
      <c r="C36" s="13"/>
      <c r="D36" s="13"/>
      <c r="E36" s="13"/>
      <c r="F36" s="13"/>
    </row>
    <row r="37" ht="15.75" customHeight="1">
      <c r="B37" s="13"/>
      <c r="C37" s="13"/>
      <c r="D37" s="13"/>
      <c r="E37" s="13"/>
      <c r="F37" s="13"/>
    </row>
    <row r="38" ht="15.75" customHeight="1">
      <c r="B38" s="13"/>
      <c r="C38" s="13"/>
      <c r="D38" s="13"/>
      <c r="E38" s="13"/>
      <c r="F38" s="13"/>
    </row>
    <row r="39" ht="15.75" customHeight="1">
      <c r="B39" s="13"/>
      <c r="C39" s="13"/>
      <c r="D39" s="13"/>
      <c r="E39" s="13"/>
      <c r="F39" s="13"/>
    </row>
    <row r="40" ht="15.75" customHeight="1">
      <c r="B40" s="13"/>
      <c r="C40" s="13"/>
      <c r="D40" s="13"/>
      <c r="E40" s="13"/>
      <c r="F40" s="13"/>
    </row>
    <row r="41" ht="15.75" customHeight="1">
      <c r="B41" s="13"/>
      <c r="C41" s="13"/>
      <c r="D41" s="13"/>
      <c r="E41" s="13"/>
      <c r="F41" s="13"/>
    </row>
    <row r="42" ht="15.75" customHeight="1">
      <c r="B42" s="13"/>
      <c r="C42" s="13"/>
      <c r="D42" s="13"/>
      <c r="E42" s="13"/>
      <c r="F42" s="13"/>
    </row>
    <row r="43" ht="15.75" customHeight="1">
      <c r="B43" s="13"/>
      <c r="C43" s="13"/>
      <c r="D43" s="13"/>
      <c r="E43" s="13"/>
      <c r="F43" s="13"/>
    </row>
    <row r="44" ht="15.75" customHeight="1">
      <c r="B44" s="13"/>
      <c r="C44" s="13"/>
      <c r="D44" s="13"/>
      <c r="E44" s="13"/>
      <c r="F44" s="13"/>
    </row>
    <row r="45" ht="15.75" customHeight="1">
      <c r="B45" s="13"/>
      <c r="C45" s="13"/>
      <c r="D45" s="13"/>
      <c r="E45" s="13"/>
      <c r="F45" s="13"/>
    </row>
    <row r="46" ht="15.75" customHeight="1">
      <c r="B46" s="13"/>
      <c r="C46" s="13"/>
      <c r="D46" s="13"/>
      <c r="E46" s="13"/>
      <c r="F46" s="13"/>
    </row>
    <row r="47" ht="15.75" customHeight="1">
      <c r="B47" s="13"/>
      <c r="C47" s="13"/>
      <c r="D47" s="13"/>
      <c r="E47" s="13"/>
      <c r="F47" s="13"/>
    </row>
    <row r="48" ht="15.75" customHeight="1">
      <c r="B48" s="13"/>
      <c r="C48" s="13"/>
      <c r="D48" s="13"/>
      <c r="E48" s="13"/>
      <c r="F48" s="13"/>
    </row>
    <row r="49" ht="15.75" customHeight="1">
      <c r="B49" s="13"/>
      <c r="C49" s="13"/>
      <c r="D49" s="13"/>
      <c r="E49" s="13"/>
      <c r="F49" s="13"/>
    </row>
    <row r="50" ht="15.75" customHeight="1">
      <c r="B50" s="13"/>
      <c r="C50" s="13"/>
      <c r="D50" s="13"/>
      <c r="E50" s="13"/>
      <c r="F50" s="13"/>
    </row>
    <row r="51" ht="15.75" customHeight="1">
      <c r="B51" s="13"/>
      <c r="C51" s="13"/>
      <c r="D51" s="13"/>
      <c r="E51" s="13"/>
      <c r="F51" s="13"/>
    </row>
    <row r="52" ht="15.75" customHeight="1">
      <c r="B52" s="13"/>
      <c r="C52" s="13"/>
      <c r="D52" s="13"/>
      <c r="E52" s="13"/>
      <c r="F52" s="13"/>
    </row>
    <row r="53" ht="15.75" customHeight="1">
      <c r="B53" s="13"/>
      <c r="C53" s="13"/>
      <c r="D53" s="13"/>
      <c r="E53" s="13"/>
      <c r="F53" s="13"/>
    </row>
    <row r="54" ht="15.75" customHeight="1">
      <c r="B54" s="13"/>
      <c r="C54" s="13"/>
      <c r="D54" s="13"/>
      <c r="E54" s="13"/>
      <c r="F54" s="13"/>
    </row>
    <row r="55" ht="15.75" customHeight="1">
      <c r="B55" s="13"/>
      <c r="C55" s="13"/>
      <c r="D55" s="13"/>
      <c r="E55" s="13"/>
      <c r="F55" s="13"/>
    </row>
    <row r="56" ht="15.75" customHeight="1">
      <c r="B56" s="13"/>
      <c r="C56" s="13"/>
      <c r="D56" s="13"/>
      <c r="E56" s="13"/>
      <c r="F56" s="13"/>
    </row>
    <row r="57" ht="15.75" customHeight="1">
      <c r="B57" s="13"/>
      <c r="C57" s="13"/>
      <c r="D57" s="13"/>
      <c r="E57" s="13"/>
      <c r="F57" s="13"/>
    </row>
    <row r="58" ht="15.75" customHeight="1">
      <c r="B58" s="13"/>
      <c r="C58" s="13"/>
      <c r="D58" s="13"/>
      <c r="E58" s="13"/>
      <c r="F58" s="13"/>
    </row>
    <row r="59" ht="15.75" customHeight="1">
      <c r="B59" s="13"/>
      <c r="C59" s="13"/>
      <c r="D59" s="13"/>
      <c r="E59" s="13"/>
      <c r="F59" s="13"/>
    </row>
    <row r="60" ht="15.75" customHeight="1">
      <c r="B60" s="13"/>
      <c r="C60" s="13"/>
      <c r="D60" s="13"/>
      <c r="E60" s="13"/>
      <c r="F60" s="13"/>
    </row>
    <row r="61" ht="15.75" customHeight="1">
      <c r="B61" s="13"/>
      <c r="C61" s="13"/>
      <c r="D61" s="13"/>
      <c r="E61" s="13"/>
      <c r="F61" s="13"/>
    </row>
    <row r="62" ht="15.75" customHeight="1">
      <c r="B62" s="13"/>
      <c r="C62" s="13"/>
      <c r="D62" s="13"/>
      <c r="E62" s="13"/>
      <c r="F62" s="13"/>
    </row>
    <row r="63" ht="15.75" customHeight="1">
      <c r="B63" s="13"/>
      <c r="C63" s="13"/>
      <c r="D63" s="13"/>
      <c r="E63" s="13"/>
      <c r="F63" s="13"/>
    </row>
    <row r="64" ht="15.75" customHeight="1">
      <c r="B64" s="13"/>
      <c r="C64" s="13"/>
      <c r="D64" s="13"/>
      <c r="E64" s="13"/>
      <c r="F64" s="13"/>
    </row>
    <row r="65" ht="15.75" customHeight="1">
      <c r="B65" s="13"/>
      <c r="C65" s="13"/>
      <c r="D65" s="13"/>
      <c r="E65" s="13"/>
      <c r="F65" s="13"/>
    </row>
    <row r="66" ht="15.75" customHeight="1">
      <c r="B66" s="13"/>
      <c r="C66" s="13"/>
      <c r="D66" s="13"/>
      <c r="E66" s="13"/>
      <c r="F66" s="13"/>
    </row>
    <row r="67" ht="15.75" customHeight="1">
      <c r="B67" s="13"/>
      <c r="C67" s="13"/>
      <c r="D67" s="13"/>
      <c r="E67" s="13"/>
      <c r="F67" s="13"/>
    </row>
    <row r="68" ht="15.75" customHeight="1">
      <c r="B68" s="13"/>
      <c r="C68" s="13"/>
      <c r="D68" s="13"/>
      <c r="E68" s="13"/>
      <c r="F68" s="13"/>
    </row>
    <row r="69" ht="15.75" customHeight="1">
      <c r="B69" s="13"/>
      <c r="C69" s="13"/>
      <c r="D69" s="13"/>
      <c r="E69" s="13"/>
      <c r="F69" s="13"/>
    </row>
    <row r="70" ht="15.75" customHeight="1">
      <c r="B70" s="13"/>
      <c r="C70" s="13"/>
      <c r="D70" s="13"/>
      <c r="E70" s="13"/>
      <c r="F70" s="13"/>
    </row>
    <row r="71" ht="15.75" customHeight="1">
      <c r="B71" s="13"/>
      <c r="C71" s="13"/>
      <c r="D71" s="13"/>
      <c r="E71" s="13"/>
      <c r="F71" s="13"/>
    </row>
    <row r="72" ht="15.75" customHeight="1">
      <c r="B72" s="13"/>
      <c r="C72" s="13"/>
      <c r="D72" s="13"/>
      <c r="E72" s="13"/>
      <c r="F72" s="13"/>
    </row>
    <row r="73" ht="15.75" customHeight="1">
      <c r="B73" s="13"/>
      <c r="C73" s="13"/>
      <c r="D73" s="13"/>
      <c r="E73" s="13"/>
      <c r="F73" s="13"/>
    </row>
    <row r="74" ht="15.75" customHeight="1">
      <c r="B74" s="13"/>
      <c r="C74" s="13"/>
      <c r="D74" s="13"/>
      <c r="E74" s="13"/>
      <c r="F74" s="13"/>
    </row>
    <row r="75" ht="15.75" customHeight="1">
      <c r="B75" s="13"/>
      <c r="C75" s="13"/>
      <c r="D75" s="13"/>
      <c r="E75" s="13"/>
      <c r="F75" s="13"/>
    </row>
    <row r="76" ht="15.75" customHeight="1">
      <c r="B76" s="13"/>
      <c r="C76" s="13"/>
      <c r="D76" s="13"/>
      <c r="E76" s="13"/>
      <c r="F76" s="13"/>
    </row>
    <row r="77" ht="15.75" customHeight="1">
      <c r="B77" s="13"/>
      <c r="C77" s="13"/>
      <c r="D77" s="13"/>
      <c r="E77" s="13"/>
      <c r="F77" s="13"/>
    </row>
    <row r="78" ht="15.75" customHeight="1">
      <c r="B78" s="13"/>
      <c r="C78" s="13"/>
      <c r="D78" s="13"/>
      <c r="E78" s="13"/>
      <c r="F78" s="13"/>
    </row>
    <row r="79" ht="15.75" customHeight="1">
      <c r="B79" s="13"/>
      <c r="C79" s="13"/>
      <c r="D79" s="13"/>
      <c r="E79" s="13"/>
      <c r="F79" s="13"/>
    </row>
    <row r="80" ht="15.75" customHeight="1">
      <c r="B80" s="13"/>
      <c r="C80" s="13"/>
      <c r="D80" s="13"/>
      <c r="E80" s="13"/>
      <c r="F80" s="13"/>
    </row>
    <row r="81" ht="15.75" customHeight="1">
      <c r="B81" s="13"/>
      <c r="C81" s="13"/>
      <c r="D81" s="13"/>
      <c r="E81" s="13"/>
      <c r="F81" s="13"/>
    </row>
    <row r="82" ht="15.75" customHeight="1">
      <c r="B82" s="13"/>
      <c r="C82" s="13"/>
      <c r="D82" s="13"/>
      <c r="E82" s="13"/>
      <c r="F82" s="13"/>
    </row>
    <row r="83" ht="15.75" customHeight="1">
      <c r="B83" s="13"/>
      <c r="C83" s="13"/>
      <c r="D83" s="13"/>
      <c r="E83" s="13"/>
      <c r="F83" s="13"/>
    </row>
    <row r="84" ht="15.75" customHeight="1">
      <c r="B84" s="13"/>
      <c r="C84" s="13"/>
      <c r="D84" s="13"/>
      <c r="E84" s="13"/>
      <c r="F84" s="13"/>
    </row>
    <row r="85" ht="15.75" customHeight="1">
      <c r="B85" s="13"/>
      <c r="C85" s="13"/>
      <c r="D85" s="13"/>
      <c r="E85" s="13"/>
      <c r="F85" s="13"/>
    </row>
    <row r="86" ht="15.75" customHeight="1">
      <c r="B86" s="13"/>
      <c r="C86" s="13"/>
      <c r="D86" s="13"/>
      <c r="E86" s="13"/>
      <c r="F86" s="13"/>
    </row>
    <row r="87" ht="15.75" customHeight="1">
      <c r="B87" s="13"/>
      <c r="C87" s="13"/>
      <c r="D87" s="13"/>
      <c r="E87" s="13"/>
      <c r="F87" s="13"/>
    </row>
    <row r="88" ht="15.75" customHeight="1">
      <c r="B88" s="13"/>
      <c r="C88" s="13"/>
      <c r="D88" s="13"/>
      <c r="E88" s="13"/>
      <c r="F88" s="13"/>
    </row>
    <row r="89" ht="15.75" customHeight="1">
      <c r="B89" s="13"/>
      <c r="C89" s="13"/>
      <c r="D89" s="13"/>
      <c r="E89" s="13"/>
      <c r="F89" s="13"/>
    </row>
    <row r="90" ht="15.75" customHeight="1">
      <c r="B90" s="13"/>
      <c r="C90" s="13"/>
      <c r="D90" s="13"/>
      <c r="E90" s="13"/>
      <c r="F90" s="13"/>
    </row>
    <row r="91" ht="15.75" customHeight="1">
      <c r="B91" s="13"/>
      <c r="C91" s="13"/>
      <c r="D91" s="13"/>
      <c r="E91" s="13"/>
      <c r="F91" s="13"/>
    </row>
    <row r="92" ht="15.75" customHeight="1">
      <c r="B92" s="13"/>
      <c r="C92" s="13"/>
      <c r="D92" s="13"/>
      <c r="E92" s="13"/>
      <c r="F92" s="13"/>
    </row>
    <row r="93" ht="15.75" customHeight="1">
      <c r="B93" s="13"/>
      <c r="C93" s="13"/>
      <c r="D93" s="13"/>
      <c r="E93" s="13"/>
      <c r="F93" s="13"/>
    </row>
    <row r="94" ht="15.75" customHeight="1">
      <c r="B94" s="13"/>
      <c r="C94" s="13"/>
      <c r="D94" s="13"/>
      <c r="E94" s="13"/>
      <c r="F94" s="13"/>
    </row>
    <row r="95" ht="15.75" customHeight="1">
      <c r="B95" s="13"/>
      <c r="C95" s="13"/>
      <c r="D95" s="13"/>
      <c r="E95" s="13"/>
      <c r="F95" s="13"/>
    </row>
    <row r="96" ht="15.75" customHeight="1">
      <c r="B96" s="13"/>
      <c r="C96" s="13"/>
      <c r="D96" s="13"/>
      <c r="E96" s="13"/>
      <c r="F96" s="13"/>
    </row>
    <row r="97" ht="15.75" customHeight="1">
      <c r="B97" s="13"/>
      <c r="C97" s="13"/>
      <c r="D97" s="13"/>
      <c r="E97" s="13"/>
      <c r="F97" s="13"/>
    </row>
    <row r="98" ht="15.75" customHeight="1">
      <c r="B98" s="13"/>
      <c r="C98" s="13"/>
      <c r="D98" s="13"/>
      <c r="E98" s="13"/>
      <c r="F98" s="13"/>
    </row>
    <row r="99" ht="15.75" customHeight="1">
      <c r="B99" s="13"/>
      <c r="C99" s="13"/>
      <c r="D99" s="13"/>
      <c r="E99" s="13"/>
      <c r="F99" s="13"/>
    </row>
    <row r="100" ht="15.75" customHeight="1">
      <c r="B100" s="13"/>
      <c r="C100" s="13"/>
      <c r="D100" s="13"/>
      <c r="E100" s="13"/>
      <c r="F100" s="13"/>
    </row>
    <row r="101" ht="15.75" customHeight="1">
      <c r="B101" s="13"/>
      <c r="C101" s="13"/>
      <c r="D101" s="13"/>
      <c r="E101" s="13"/>
      <c r="F101" s="13"/>
    </row>
    <row r="102" ht="15.75" customHeight="1">
      <c r="B102" s="13"/>
      <c r="C102" s="13"/>
      <c r="D102" s="13"/>
      <c r="E102" s="13"/>
      <c r="F102" s="13"/>
    </row>
    <row r="103" ht="15.75" customHeight="1">
      <c r="B103" s="13"/>
      <c r="C103" s="13"/>
      <c r="D103" s="13"/>
      <c r="E103" s="13"/>
      <c r="F103" s="13"/>
    </row>
    <row r="104" ht="15.75" customHeight="1">
      <c r="B104" s="13"/>
      <c r="C104" s="13"/>
      <c r="D104" s="13"/>
      <c r="E104" s="13"/>
      <c r="F104" s="13"/>
    </row>
    <row r="105" ht="15.75" customHeight="1">
      <c r="B105" s="13"/>
      <c r="C105" s="13"/>
      <c r="D105" s="13"/>
      <c r="E105" s="13"/>
      <c r="F105" s="13"/>
    </row>
    <row r="106" ht="15.75" customHeight="1">
      <c r="B106" s="13"/>
      <c r="C106" s="13"/>
      <c r="D106" s="13"/>
      <c r="E106" s="13"/>
      <c r="F106" s="13"/>
    </row>
    <row r="107" ht="15.75" customHeight="1">
      <c r="B107" s="13"/>
      <c r="C107" s="13"/>
      <c r="D107" s="13"/>
      <c r="E107" s="13"/>
      <c r="F107" s="13"/>
    </row>
    <row r="108" ht="15.75" customHeight="1">
      <c r="B108" s="13"/>
      <c r="C108" s="13"/>
      <c r="D108" s="13"/>
      <c r="E108" s="13"/>
      <c r="F108" s="13"/>
    </row>
    <row r="109" ht="15.75" customHeight="1">
      <c r="B109" s="13"/>
      <c r="C109" s="13"/>
      <c r="D109" s="13"/>
      <c r="E109" s="13"/>
      <c r="F109" s="13"/>
    </row>
    <row r="110" ht="15.75" customHeight="1">
      <c r="B110" s="13"/>
      <c r="C110" s="13"/>
      <c r="D110" s="13"/>
      <c r="E110" s="13"/>
      <c r="F110" s="13"/>
    </row>
    <row r="111" ht="15.75" customHeight="1">
      <c r="B111" s="13"/>
      <c r="C111" s="13"/>
      <c r="D111" s="13"/>
      <c r="E111" s="13"/>
      <c r="F111" s="13"/>
    </row>
    <row r="112" ht="15.75" customHeight="1">
      <c r="B112" s="13"/>
      <c r="C112" s="13"/>
      <c r="D112" s="13"/>
      <c r="E112" s="13"/>
      <c r="F112" s="13"/>
    </row>
    <row r="113" ht="15.75" customHeight="1">
      <c r="B113" s="13"/>
      <c r="C113" s="13"/>
      <c r="D113" s="13"/>
      <c r="E113" s="13"/>
      <c r="F113" s="13"/>
    </row>
    <row r="114" ht="15.75" customHeight="1">
      <c r="B114" s="13"/>
      <c r="C114" s="13"/>
      <c r="D114" s="13"/>
      <c r="E114" s="13"/>
      <c r="F114" s="13"/>
    </row>
    <row r="115" ht="15.75" customHeight="1">
      <c r="B115" s="13"/>
      <c r="C115" s="13"/>
      <c r="D115" s="13"/>
      <c r="E115" s="13"/>
      <c r="F115" s="13"/>
    </row>
    <row r="116" ht="15.75" customHeight="1">
      <c r="B116" s="13"/>
      <c r="C116" s="13"/>
      <c r="D116" s="13"/>
      <c r="E116" s="13"/>
      <c r="F116" s="13"/>
    </row>
    <row r="117" ht="15.75" customHeight="1">
      <c r="B117" s="13"/>
      <c r="C117" s="13"/>
      <c r="D117" s="13"/>
      <c r="E117" s="13"/>
      <c r="F117" s="13"/>
    </row>
    <row r="118" ht="15.75" customHeight="1">
      <c r="B118" s="13"/>
      <c r="C118" s="13"/>
      <c r="D118" s="13"/>
      <c r="E118" s="13"/>
      <c r="F118" s="13"/>
    </row>
    <row r="119" ht="15.75" customHeight="1">
      <c r="B119" s="13"/>
      <c r="C119" s="13"/>
      <c r="D119" s="13"/>
      <c r="E119" s="13"/>
      <c r="F119" s="13"/>
    </row>
    <row r="120" ht="15.75" customHeight="1">
      <c r="B120" s="13"/>
      <c r="C120" s="13"/>
      <c r="D120" s="13"/>
      <c r="E120" s="13"/>
      <c r="F120" s="13"/>
    </row>
    <row r="121" ht="15.75" customHeight="1">
      <c r="B121" s="13"/>
      <c r="C121" s="13"/>
      <c r="D121" s="13"/>
      <c r="E121" s="13"/>
      <c r="F121" s="13"/>
    </row>
    <row r="122" ht="15.75" customHeight="1">
      <c r="B122" s="13"/>
      <c r="C122" s="13"/>
      <c r="D122" s="13"/>
      <c r="E122" s="13"/>
      <c r="F122" s="13"/>
    </row>
    <row r="123" ht="15.75" customHeight="1">
      <c r="B123" s="13"/>
      <c r="C123" s="13"/>
      <c r="D123" s="13"/>
      <c r="E123" s="13"/>
      <c r="F123" s="13"/>
    </row>
    <row r="124" ht="15.75" customHeight="1">
      <c r="B124" s="13"/>
      <c r="C124" s="13"/>
      <c r="D124" s="13"/>
      <c r="E124" s="13"/>
      <c r="F124" s="13"/>
    </row>
    <row r="125" ht="15.75" customHeight="1">
      <c r="B125" s="13"/>
      <c r="C125" s="13"/>
      <c r="D125" s="13"/>
      <c r="E125" s="13"/>
      <c r="F125" s="13"/>
    </row>
    <row r="126" ht="15.75" customHeight="1">
      <c r="B126" s="13"/>
      <c r="C126" s="13"/>
      <c r="D126" s="13"/>
      <c r="E126" s="13"/>
      <c r="F126" s="13"/>
    </row>
    <row r="127" ht="15.75" customHeight="1">
      <c r="B127" s="13"/>
      <c r="C127" s="13"/>
      <c r="D127" s="13"/>
      <c r="E127" s="13"/>
      <c r="F127" s="13"/>
    </row>
    <row r="128" ht="15.75" customHeight="1">
      <c r="B128" s="13"/>
      <c r="C128" s="13"/>
      <c r="D128" s="13"/>
      <c r="E128" s="13"/>
      <c r="F128" s="13"/>
    </row>
    <row r="129" ht="15.75" customHeight="1">
      <c r="B129" s="13"/>
      <c r="C129" s="13"/>
      <c r="D129" s="13"/>
      <c r="E129" s="13"/>
      <c r="F129" s="13"/>
    </row>
    <row r="130" ht="15.75" customHeight="1">
      <c r="B130" s="13"/>
      <c r="C130" s="13"/>
      <c r="D130" s="13"/>
      <c r="E130" s="13"/>
      <c r="F130" s="13"/>
    </row>
    <row r="131" ht="15.75" customHeight="1">
      <c r="B131" s="13"/>
      <c r="C131" s="13"/>
      <c r="D131" s="13"/>
      <c r="E131" s="13"/>
      <c r="F131" s="13"/>
    </row>
    <row r="132" ht="15.75" customHeight="1">
      <c r="B132" s="13"/>
      <c r="C132" s="13"/>
      <c r="D132" s="13"/>
      <c r="E132" s="13"/>
      <c r="F132" s="13"/>
    </row>
    <row r="133" ht="15.75" customHeight="1">
      <c r="B133" s="13"/>
      <c r="C133" s="13"/>
      <c r="D133" s="13"/>
      <c r="E133" s="13"/>
      <c r="F133" s="13"/>
    </row>
    <row r="134" ht="15.75" customHeight="1">
      <c r="B134" s="13"/>
      <c r="C134" s="13"/>
      <c r="D134" s="13"/>
      <c r="E134" s="13"/>
      <c r="F134" s="13"/>
    </row>
    <row r="135" ht="15.75" customHeight="1">
      <c r="B135" s="13"/>
      <c r="C135" s="13"/>
      <c r="D135" s="13"/>
      <c r="E135" s="13"/>
      <c r="F135" s="13"/>
    </row>
    <row r="136" ht="15.75" customHeight="1">
      <c r="B136" s="13"/>
      <c r="C136" s="13"/>
      <c r="D136" s="13"/>
      <c r="E136" s="13"/>
      <c r="F136" s="13"/>
    </row>
    <row r="137" ht="15.75" customHeight="1">
      <c r="B137" s="13"/>
      <c r="C137" s="13"/>
      <c r="D137" s="13"/>
      <c r="E137" s="13"/>
      <c r="F137" s="13"/>
    </row>
    <row r="138" ht="15.75" customHeight="1">
      <c r="B138" s="13"/>
      <c r="C138" s="13"/>
      <c r="D138" s="13"/>
      <c r="E138" s="13"/>
      <c r="F138" s="13"/>
    </row>
    <row r="139" ht="15.75" customHeight="1">
      <c r="B139" s="13"/>
      <c r="C139" s="13"/>
      <c r="D139" s="13"/>
      <c r="E139" s="13"/>
      <c r="F139" s="13"/>
    </row>
    <row r="140" ht="15.75" customHeight="1">
      <c r="B140" s="13"/>
      <c r="C140" s="13"/>
      <c r="D140" s="13"/>
      <c r="E140" s="13"/>
      <c r="F140" s="13"/>
    </row>
    <row r="141" ht="15.75" customHeight="1">
      <c r="B141" s="13"/>
      <c r="C141" s="13"/>
      <c r="D141" s="13"/>
      <c r="E141" s="13"/>
      <c r="F141" s="13"/>
    </row>
    <row r="142" ht="15.75" customHeight="1">
      <c r="B142" s="13"/>
      <c r="C142" s="13"/>
      <c r="D142" s="13"/>
      <c r="E142" s="13"/>
      <c r="F142" s="13"/>
    </row>
    <row r="143" ht="15.75" customHeight="1">
      <c r="B143" s="13"/>
      <c r="C143" s="13"/>
      <c r="D143" s="13"/>
      <c r="E143" s="13"/>
      <c r="F143" s="13"/>
    </row>
    <row r="144" ht="15.75" customHeight="1">
      <c r="B144" s="13"/>
      <c r="C144" s="13"/>
      <c r="D144" s="13"/>
      <c r="E144" s="13"/>
      <c r="F144" s="13"/>
    </row>
    <row r="145" ht="15.75" customHeight="1">
      <c r="B145" s="13"/>
      <c r="C145" s="13"/>
      <c r="D145" s="13"/>
      <c r="E145" s="13"/>
      <c r="F145" s="13"/>
    </row>
    <row r="146" ht="15.75" customHeight="1">
      <c r="B146" s="13"/>
      <c r="C146" s="13"/>
      <c r="D146" s="13"/>
      <c r="E146" s="13"/>
      <c r="F146" s="13"/>
    </row>
    <row r="147" ht="15.75" customHeight="1">
      <c r="B147" s="13"/>
      <c r="C147" s="13"/>
      <c r="D147" s="13"/>
      <c r="E147" s="13"/>
      <c r="F147" s="13"/>
    </row>
    <row r="148" ht="15.75" customHeight="1">
      <c r="B148" s="13"/>
      <c r="C148" s="13"/>
      <c r="D148" s="13"/>
      <c r="E148" s="13"/>
      <c r="F148" s="13"/>
    </row>
    <row r="149" ht="15.75" customHeight="1">
      <c r="B149" s="13"/>
      <c r="C149" s="13"/>
      <c r="D149" s="13"/>
      <c r="E149" s="13"/>
      <c r="F149" s="13"/>
    </row>
    <row r="150" ht="15.75" customHeight="1">
      <c r="B150" s="13"/>
      <c r="C150" s="13"/>
      <c r="D150" s="13"/>
      <c r="E150" s="13"/>
      <c r="F150" s="13"/>
    </row>
    <row r="151" ht="15.75" customHeight="1">
      <c r="B151" s="13"/>
      <c r="C151" s="13"/>
      <c r="D151" s="13"/>
      <c r="E151" s="13"/>
      <c r="F151" s="13"/>
    </row>
    <row r="152" ht="15.75" customHeight="1">
      <c r="B152" s="13"/>
      <c r="C152" s="13"/>
      <c r="D152" s="13"/>
      <c r="E152" s="13"/>
      <c r="F152" s="13"/>
    </row>
    <row r="153" ht="15.75" customHeight="1">
      <c r="B153" s="13"/>
      <c r="C153" s="13"/>
      <c r="D153" s="13"/>
      <c r="E153" s="13"/>
      <c r="F153" s="13"/>
    </row>
    <row r="154" ht="15.75" customHeight="1">
      <c r="B154" s="13"/>
      <c r="C154" s="13"/>
      <c r="D154" s="13"/>
      <c r="E154" s="13"/>
      <c r="F154" s="13"/>
    </row>
    <row r="155" ht="15.75" customHeight="1">
      <c r="B155" s="13"/>
      <c r="C155" s="13"/>
      <c r="D155" s="13"/>
      <c r="E155" s="13"/>
      <c r="F155" s="13"/>
    </row>
    <row r="156" ht="15.75" customHeight="1">
      <c r="B156" s="13"/>
      <c r="C156" s="13"/>
      <c r="D156" s="13"/>
      <c r="E156" s="13"/>
      <c r="F156" s="13"/>
    </row>
    <row r="157" ht="15.75" customHeight="1">
      <c r="B157" s="13"/>
      <c r="C157" s="13"/>
      <c r="D157" s="13"/>
      <c r="E157" s="13"/>
      <c r="F157" s="13"/>
    </row>
    <row r="158" ht="15.75" customHeight="1">
      <c r="B158" s="13"/>
      <c r="C158" s="13"/>
      <c r="D158" s="13"/>
      <c r="E158" s="13"/>
      <c r="F158" s="13"/>
    </row>
    <row r="159" ht="15.75" customHeight="1">
      <c r="B159" s="13"/>
      <c r="C159" s="13"/>
      <c r="D159" s="13"/>
      <c r="E159" s="13"/>
      <c r="F159" s="13"/>
    </row>
    <row r="160" ht="15.75" customHeight="1">
      <c r="B160" s="13"/>
      <c r="C160" s="13"/>
      <c r="D160" s="13"/>
      <c r="E160" s="13"/>
      <c r="F160" s="13"/>
    </row>
    <row r="161" ht="15.75" customHeight="1">
      <c r="B161" s="13"/>
      <c r="C161" s="13"/>
      <c r="D161" s="13"/>
      <c r="E161" s="13"/>
      <c r="F161" s="13"/>
    </row>
    <row r="162" ht="15.75" customHeight="1">
      <c r="B162" s="13"/>
      <c r="C162" s="13"/>
      <c r="D162" s="13"/>
      <c r="E162" s="13"/>
      <c r="F162" s="13"/>
    </row>
    <row r="163" ht="15.75" customHeight="1">
      <c r="B163" s="13"/>
      <c r="C163" s="13"/>
      <c r="D163" s="13"/>
      <c r="E163" s="13"/>
      <c r="F163" s="13"/>
    </row>
    <row r="164" ht="15.75" customHeight="1">
      <c r="B164" s="13"/>
      <c r="C164" s="13"/>
      <c r="D164" s="13"/>
      <c r="E164" s="13"/>
      <c r="F164" s="13"/>
    </row>
    <row r="165" ht="15.75" customHeight="1">
      <c r="B165" s="13"/>
      <c r="C165" s="13"/>
      <c r="D165" s="13"/>
      <c r="E165" s="13"/>
      <c r="F165" s="13"/>
    </row>
    <row r="166" ht="15.75" customHeight="1">
      <c r="B166" s="13"/>
      <c r="C166" s="13"/>
      <c r="D166" s="13"/>
      <c r="E166" s="13"/>
      <c r="F166" s="13"/>
    </row>
    <row r="167" ht="15.75" customHeight="1">
      <c r="B167" s="13"/>
      <c r="C167" s="13"/>
      <c r="D167" s="13"/>
      <c r="E167" s="13"/>
      <c r="F167" s="13"/>
    </row>
    <row r="168" ht="15.75" customHeight="1">
      <c r="B168" s="13"/>
      <c r="C168" s="13"/>
      <c r="D168" s="13"/>
      <c r="E168" s="13"/>
      <c r="F168" s="13"/>
    </row>
    <row r="169" ht="15.75" customHeight="1">
      <c r="B169" s="13"/>
      <c r="C169" s="13"/>
      <c r="D169" s="13"/>
      <c r="E169" s="13"/>
      <c r="F169" s="13"/>
    </row>
    <row r="170" ht="15.75" customHeight="1">
      <c r="B170" s="13"/>
      <c r="C170" s="13"/>
      <c r="D170" s="13"/>
      <c r="E170" s="13"/>
      <c r="F170" s="13"/>
    </row>
    <row r="171" ht="15.75" customHeight="1">
      <c r="B171" s="13"/>
      <c r="C171" s="13"/>
      <c r="D171" s="13"/>
      <c r="E171" s="13"/>
      <c r="F171" s="13"/>
    </row>
    <row r="172" ht="15.75" customHeight="1">
      <c r="B172" s="13"/>
      <c r="C172" s="13"/>
      <c r="D172" s="13"/>
      <c r="E172" s="13"/>
      <c r="F172" s="13"/>
    </row>
    <row r="173" ht="15.75" customHeight="1">
      <c r="B173" s="13"/>
      <c r="C173" s="13"/>
      <c r="D173" s="13"/>
      <c r="E173" s="13"/>
      <c r="F173" s="13"/>
    </row>
    <row r="174" ht="15.75" customHeight="1">
      <c r="B174" s="13"/>
      <c r="C174" s="13"/>
      <c r="D174" s="13"/>
      <c r="E174" s="13"/>
      <c r="F174" s="13"/>
    </row>
    <row r="175" ht="15.75" customHeight="1">
      <c r="B175" s="13"/>
      <c r="C175" s="13"/>
      <c r="D175" s="13"/>
      <c r="E175" s="13"/>
      <c r="F175" s="13"/>
    </row>
    <row r="176" ht="15.75" customHeight="1">
      <c r="B176" s="13"/>
      <c r="C176" s="13"/>
      <c r="D176" s="13"/>
      <c r="E176" s="13"/>
      <c r="F176" s="13"/>
    </row>
    <row r="177" ht="15.75" customHeight="1">
      <c r="B177" s="13"/>
      <c r="C177" s="13"/>
      <c r="D177" s="13"/>
      <c r="E177" s="13"/>
      <c r="F177" s="13"/>
    </row>
    <row r="178" ht="15.75" customHeight="1">
      <c r="B178" s="13"/>
      <c r="C178" s="13"/>
      <c r="D178" s="13"/>
      <c r="E178" s="13"/>
      <c r="F178" s="13"/>
    </row>
    <row r="179" ht="15.75" customHeight="1">
      <c r="B179" s="13"/>
      <c r="C179" s="13"/>
      <c r="D179" s="13"/>
      <c r="E179" s="13"/>
      <c r="F179" s="13"/>
    </row>
    <row r="180" ht="15.75" customHeight="1">
      <c r="B180" s="13"/>
      <c r="C180" s="13"/>
      <c r="D180" s="13"/>
      <c r="E180" s="13"/>
      <c r="F180" s="13"/>
    </row>
    <row r="181" ht="15.75" customHeight="1">
      <c r="B181" s="13"/>
      <c r="C181" s="13"/>
      <c r="D181" s="13"/>
      <c r="E181" s="13"/>
      <c r="F181" s="13"/>
    </row>
    <row r="182" ht="15.75" customHeight="1">
      <c r="B182" s="13"/>
      <c r="C182" s="13"/>
      <c r="D182" s="13"/>
      <c r="E182" s="13"/>
      <c r="F182" s="13"/>
    </row>
    <row r="183" ht="15.75" customHeight="1">
      <c r="B183" s="13"/>
      <c r="C183" s="13"/>
      <c r="D183" s="13"/>
      <c r="E183" s="13"/>
      <c r="F183" s="13"/>
    </row>
    <row r="184" ht="15.75" customHeight="1">
      <c r="B184" s="13"/>
      <c r="C184" s="13"/>
      <c r="D184" s="13"/>
      <c r="E184" s="13"/>
      <c r="F184" s="13"/>
    </row>
    <row r="185" ht="15.75" customHeight="1">
      <c r="B185" s="13"/>
      <c r="C185" s="13"/>
      <c r="D185" s="13"/>
      <c r="E185" s="13"/>
      <c r="F185" s="13"/>
    </row>
    <row r="186" ht="15.75" customHeight="1">
      <c r="B186" s="13"/>
      <c r="C186" s="13"/>
      <c r="D186" s="13"/>
      <c r="E186" s="13"/>
      <c r="F186" s="13"/>
    </row>
    <row r="187" ht="15.75" customHeight="1">
      <c r="B187" s="13"/>
      <c r="C187" s="13"/>
      <c r="D187" s="13"/>
      <c r="E187" s="13"/>
      <c r="F187" s="13"/>
    </row>
    <row r="188" ht="15.75" customHeight="1">
      <c r="B188" s="13"/>
      <c r="C188" s="13"/>
      <c r="D188" s="13"/>
      <c r="E188" s="13"/>
      <c r="F188" s="13"/>
    </row>
    <row r="189" ht="15.75" customHeight="1">
      <c r="B189" s="13"/>
      <c r="C189" s="13"/>
      <c r="D189" s="13"/>
      <c r="E189" s="13"/>
      <c r="F189" s="13"/>
    </row>
    <row r="190" ht="15.75" customHeight="1">
      <c r="B190" s="13"/>
      <c r="C190" s="13"/>
      <c r="D190" s="13"/>
      <c r="E190" s="13"/>
      <c r="F190" s="13"/>
    </row>
    <row r="191" ht="15.75" customHeight="1">
      <c r="B191" s="13"/>
      <c r="C191" s="13"/>
      <c r="D191" s="13"/>
      <c r="E191" s="13"/>
      <c r="F191" s="13"/>
    </row>
    <row r="192" ht="15.75" customHeight="1">
      <c r="B192" s="13"/>
      <c r="C192" s="13"/>
      <c r="D192" s="13"/>
      <c r="E192" s="13"/>
      <c r="F192" s="13"/>
    </row>
    <row r="193" ht="15.75" customHeight="1">
      <c r="B193" s="13"/>
      <c r="C193" s="13"/>
      <c r="D193" s="13"/>
      <c r="E193" s="13"/>
      <c r="F193" s="13"/>
    </row>
    <row r="194" ht="15.75" customHeight="1">
      <c r="B194" s="13"/>
      <c r="C194" s="13"/>
      <c r="D194" s="13"/>
      <c r="E194" s="13"/>
      <c r="F194" s="13"/>
    </row>
    <row r="195" ht="15.75" customHeight="1">
      <c r="B195" s="13"/>
      <c r="C195" s="13"/>
      <c r="D195" s="13"/>
      <c r="E195" s="13"/>
      <c r="F195" s="13"/>
    </row>
    <row r="196" ht="15.75" customHeight="1">
      <c r="B196" s="13"/>
      <c r="C196" s="13"/>
      <c r="D196" s="13"/>
      <c r="E196" s="13"/>
      <c r="F196" s="13"/>
    </row>
    <row r="197" ht="15.75" customHeight="1">
      <c r="B197" s="13"/>
      <c r="C197" s="13"/>
      <c r="D197" s="13"/>
      <c r="E197" s="13"/>
      <c r="F197" s="13"/>
    </row>
    <row r="198" ht="15.75" customHeight="1">
      <c r="B198" s="13"/>
      <c r="C198" s="13"/>
      <c r="D198" s="13"/>
      <c r="E198" s="13"/>
      <c r="F198" s="13"/>
    </row>
    <row r="199" ht="15.75" customHeight="1">
      <c r="B199" s="13"/>
      <c r="C199" s="13"/>
      <c r="D199" s="13"/>
      <c r="E199" s="13"/>
      <c r="F199" s="13"/>
    </row>
    <row r="200" ht="15.75" customHeight="1">
      <c r="B200" s="13"/>
      <c r="C200" s="13"/>
      <c r="D200" s="13"/>
      <c r="E200" s="13"/>
      <c r="F200" s="13"/>
    </row>
    <row r="201" ht="15.75" customHeight="1">
      <c r="B201" s="13"/>
      <c r="C201" s="13"/>
      <c r="D201" s="13"/>
      <c r="E201" s="13"/>
      <c r="F201" s="13"/>
    </row>
    <row r="202" ht="15.75" customHeight="1">
      <c r="B202" s="13"/>
      <c r="C202" s="13"/>
      <c r="D202" s="13"/>
      <c r="E202" s="13"/>
      <c r="F202" s="13"/>
    </row>
    <row r="203" ht="15.75" customHeight="1">
      <c r="B203" s="13"/>
      <c r="C203" s="13"/>
      <c r="D203" s="13"/>
      <c r="E203" s="13"/>
      <c r="F203" s="13"/>
    </row>
    <row r="204" ht="15.75" customHeight="1">
      <c r="B204" s="13"/>
      <c r="C204" s="13"/>
      <c r="D204" s="13"/>
      <c r="E204" s="13"/>
      <c r="F204" s="13"/>
    </row>
    <row r="205" ht="15.75" customHeight="1">
      <c r="B205" s="13"/>
      <c r="C205" s="13"/>
      <c r="D205" s="13"/>
      <c r="E205" s="13"/>
      <c r="F205" s="13"/>
    </row>
    <row r="206" ht="15.75" customHeight="1">
      <c r="B206" s="13"/>
      <c r="C206" s="13"/>
      <c r="D206" s="13"/>
      <c r="E206" s="13"/>
      <c r="F206" s="13"/>
    </row>
    <row r="207" ht="15.75" customHeight="1">
      <c r="B207" s="13"/>
      <c r="C207" s="13"/>
      <c r="D207" s="13"/>
      <c r="E207" s="13"/>
      <c r="F207" s="13"/>
    </row>
    <row r="208" ht="15.75" customHeight="1">
      <c r="B208" s="13"/>
      <c r="C208" s="13"/>
      <c r="D208" s="13"/>
      <c r="E208" s="13"/>
      <c r="F208" s="13"/>
    </row>
    <row r="209" ht="15.75" customHeight="1">
      <c r="B209" s="13"/>
      <c r="C209" s="13"/>
      <c r="D209" s="13"/>
      <c r="E209" s="13"/>
      <c r="F209" s="13"/>
    </row>
    <row r="210" ht="15.75" customHeight="1">
      <c r="B210" s="13"/>
      <c r="C210" s="13"/>
      <c r="D210" s="13"/>
      <c r="E210" s="13"/>
      <c r="F210" s="13"/>
    </row>
    <row r="211" ht="15.75" customHeight="1">
      <c r="B211" s="13"/>
      <c r="C211" s="13"/>
      <c r="D211" s="13"/>
      <c r="E211" s="13"/>
      <c r="F211" s="13"/>
    </row>
    <row r="212" ht="15.75" customHeight="1">
      <c r="B212" s="13"/>
      <c r="C212" s="13"/>
      <c r="D212" s="13"/>
      <c r="E212" s="13"/>
      <c r="F212" s="13"/>
    </row>
    <row r="213" ht="15.75" customHeight="1">
      <c r="B213" s="13"/>
      <c r="C213" s="13"/>
      <c r="D213" s="13"/>
      <c r="E213" s="13"/>
      <c r="F213" s="13"/>
    </row>
    <row r="214" ht="15.75" customHeight="1">
      <c r="B214" s="13"/>
      <c r="C214" s="13"/>
      <c r="D214" s="13"/>
      <c r="E214" s="13"/>
      <c r="F214" s="13"/>
    </row>
    <row r="215" ht="15.75" customHeight="1">
      <c r="B215" s="13"/>
      <c r="C215" s="13"/>
      <c r="D215" s="13"/>
      <c r="E215" s="13"/>
      <c r="F215" s="13"/>
    </row>
    <row r="216" ht="15.75" customHeight="1">
      <c r="B216" s="13"/>
      <c r="C216" s="13"/>
      <c r="D216" s="13"/>
      <c r="E216" s="13"/>
      <c r="F216" s="13"/>
    </row>
    <row r="217" ht="15.75" customHeight="1">
      <c r="B217" s="13"/>
      <c r="C217" s="13"/>
      <c r="D217" s="13"/>
      <c r="E217" s="13"/>
      <c r="F217" s="13"/>
    </row>
    <row r="218" ht="15.75" customHeight="1">
      <c r="B218" s="13"/>
      <c r="C218" s="13"/>
      <c r="D218" s="13"/>
      <c r="E218" s="13"/>
      <c r="F218" s="13"/>
    </row>
    <row r="219" ht="15.75" customHeight="1">
      <c r="B219" s="13"/>
      <c r="C219" s="13"/>
      <c r="D219" s="13"/>
      <c r="E219" s="13"/>
      <c r="F219" s="13"/>
    </row>
    <row r="220" ht="15.75" customHeight="1">
      <c r="B220" s="13"/>
      <c r="C220" s="13"/>
      <c r="D220" s="13"/>
      <c r="E220" s="13"/>
      <c r="F220" s="13"/>
    </row>
    <row r="221" ht="15.75" customHeight="1">
      <c r="B221" s="13"/>
      <c r="C221" s="13"/>
      <c r="D221" s="13"/>
      <c r="E221" s="13"/>
      <c r="F221" s="13"/>
    </row>
    <row r="222" ht="15.75" customHeight="1">
      <c r="B222" s="13"/>
      <c r="C222" s="13"/>
      <c r="D222" s="13"/>
      <c r="E222" s="13"/>
      <c r="F222" s="13"/>
    </row>
    <row r="223" ht="15.75" customHeight="1">
      <c r="B223" s="13"/>
      <c r="C223" s="13"/>
      <c r="D223" s="13"/>
      <c r="E223" s="13"/>
      <c r="F223" s="13"/>
    </row>
    <row r="224" ht="15.75" customHeight="1">
      <c r="B224" s="13"/>
      <c r="C224" s="13"/>
      <c r="D224" s="13"/>
      <c r="E224" s="13"/>
      <c r="F224" s="13"/>
    </row>
    <row r="225" ht="15.75" customHeight="1">
      <c r="B225" s="13"/>
      <c r="C225" s="13"/>
      <c r="D225" s="13"/>
      <c r="E225" s="13"/>
      <c r="F225" s="13"/>
    </row>
    <row r="226" ht="15.75" customHeight="1">
      <c r="B226" s="13"/>
      <c r="C226" s="13"/>
      <c r="D226" s="13"/>
      <c r="E226" s="13"/>
      <c r="F226" s="13"/>
    </row>
    <row r="227" ht="15.75" customHeight="1">
      <c r="B227" s="13"/>
      <c r="C227" s="13"/>
      <c r="D227" s="13"/>
      <c r="E227" s="13"/>
      <c r="F227" s="13"/>
    </row>
    <row r="228" ht="15.75" customHeight="1">
      <c r="B228" s="13"/>
      <c r="C228" s="13"/>
      <c r="D228" s="13"/>
      <c r="E228" s="13"/>
      <c r="F228" s="13"/>
    </row>
    <row r="229" ht="15.75" customHeight="1">
      <c r="B229" s="13"/>
      <c r="C229" s="13"/>
      <c r="D229" s="13"/>
      <c r="E229" s="13"/>
      <c r="F229" s="13"/>
    </row>
    <row r="230" ht="15.75" customHeight="1">
      <c r="B230" s="13"/>
      <c r="C230" s="13"/>
      <c r="D230" s="13"/>
      <c r="E230" s="13"/>
      <c r="F230" s="13"/>
    </row>
    <row r="231" ht="15.75" customHeight="1">
      <c r="B231" s="13"/>
      <c r="C231" s="13"/>
      <c r="D231" s="13"/>
      <c r="E231" s="13"/>
      <c r="F231" s="13"/>
    </row>
    <row r="232" ht="15.75" customHeight="1">
      <c r="B232" s="13"/>
      <c r="C232" s="13"/>
      <c r="D232" s="13"/>
      <c r="E232" s="13"/>
      <c r="F232" s="13"/>
    </row>
    <row r="233" ht="15.75" customHeight="1">
      <c r="B233" s="13"/>
      <c r="C233" s="13"/>
      <c r="D233" s="13"/>
      <c r="E233" s="13"/>
      <c r="F233" s="13"/>
    </row>
    <row r="234" ht="15.75" customHeight="1">
      <c r="B234" s="13"/>
      <c r="C234" s="13"/>
      <c r="D234" s="13"/>
      <c r="E234" s="13"/>
      <c r="F234" s="13"/>
    </row>
    <row r="235" ht="15.75" customHeight="1">
      <c r="B235" s="13"/>
      <c r="C235" s="13"/>
      <c r="D235" s="13"/>
      <c r="E235" s="13"/>
      <c r="F235" s="13"/>
    </row>
    <row r="236" ht="15.75" customHeight="1">
      <c r="B236" s="13"/>
      <c r="C236" s="13"/>
      <c r="D236" s="13"/>
      <c r="E236" s="13"/>
      <c r="F236" s="13"/>
    </row>
    <row r="237" ht="15.75" customHeight="1">
      <c r="B237" s="13"/>
      <c r="C237" s="13"/>
      <c r="D237" s="13"/>
      <c r="E237" s="13"/>
      <c r="F237" s="13"/>
    </row>
    <row r="238" ht="15.75" customHeight="1">
      <c r="B238" s="13"/>
      <c r="C238" s="13"/>
      <c r="D238" s="13"/>
      <c r="E238" s="13"/>
      <c r="F238" s="13"/>
    </row>
    <row r="239" ht="15.75" customHeight="1">
      <c r="B239" s="13"/>
      <c r="C239" s="13"/>
      <c r="D239" s="13"/>
      <c r="E239" s="13"/>
      <c r="F239" s="13"/>
    </row>
    <row r="240" ht="15.75" customHeight="1">
      <c r="B240" s="13"/>
      <c r="C240" s="13"/>
      <c r="D240" s="13"/>
      <c r="E240" s="13"/>
      <c r="F240" s="13"/>
    </row>
    <row r="241" ht="15.75" customHeight="1">
      <c r="B241" s="13"/>
      <c r="C241" s="13"/>
      <c r="D241" s="13"/>
      <c r="E241" s="13"/>
      <c r="F241" s="13"/>
    </row>
    <row r="242" ht="15.75" customHeight="1">
      <c r="B242" s="13"/>
      <c r="C242" s="13"/>
      <c r="D242" s="13"/>
      <c r="E242" s="13"/>
      <c r="F242" s="13"/>
    </row>
    <row r="243" ht="15.75" customHeight="1">
      <c r="B243" s="13"/>
      <c r="C243" s="13"/>
      <c r="D243" s="13"/>
      <c r="E243" s="13"/>
      <c r="F243" s="13"/>
    </row>
    <row r="244" ht="15.75" customHeight="1">
      <c r="B244" s="13"/>
      <c r="C244" s="13"/>
      <c r="D244" s="13"/>
      <c r="E244" s="13"/>
      <c r="F244" s="13"/>
    </row>
    <row r="245" ht="15.75" customHeight="1">
      <c r="B245" s="13"/>
      <c r="C245" s="13"/>
      <c r="D245" s="13"/>
      <c r="E245" s="13"/>
      <c r="F245" s="13"/>
    </row>
    <row r="246" ht="15.75" customHeight="1">
      <c r="B246" s="13"/>
      <c r="C246" s="13"/>
      <c r="D246" s="13"/>
      <c r="E246" s="13"/>
      <c r="F246" s="13"/>
    </row>
    <row r="247" ht="15.75" customHeight="1">
      <c r="B247" s="13"/>
      <c r="C247" s="13"/>
      <c r="D247" s="13"/>
      <c r="E247" s="13"/>
      <c r="F247" s="13"/>
    </row>
    <row r="248" ht="15.75" customHeight="1">
      <c r="B248" s="13"/>
      <c r="C248" s="13"/>
      <c r="D248" s="13"/>
      <c r="E248" s="13"/>
      <c r="F248" s="13"/>
    </row>
    <row r="249" ht="15.75" customHeight="1">
      <c r="B249" s="13"/>
      <c r="C249" s="13"/>
      <c r="D249" s="13"/>
      <c r="E249" s="13"/>
      <c r="F249" s="13"/>
    </row>
    <row r="250" ht="15.75" customHeight="1">
      <c r="B250" s="13"/>
      <c r="C250" s="13"/>
      <c r="D250" s="13"/>
      <c r="E250" s="13"/>
      <c r="F250" s="13"/>
    </row>
    <row r="251" ht="15.75" customHeight="1">
      <c r="B251" s="13"/>
      <c r="C251" s="13"/>
      <c r="D251" s="13"/>
      <c r="E251" s="13"/>
      <c r="F251" s="13"/>
    </row>
    <row r="252" ht="15.75" customHeight="1">
      <c r="B252" s="13"/>
      <c r="C252" s="13"/>
      <c r="D252" s="13"/>
      <c r="E252" s="13"/>
      <c r="F252" s="13"/>
    </row>
    <row r="253" ht="15.75" customHeight="1">
      <c r="B253" s="13"/>
      <c r="C253" s="13"/>
      <c r="D253" s="13"/>
      <c r="E253" s="13"/>
      <c r="F253" s="13"/>
    </row>
    <row r="254" ht="15.75" customHeight="1">
      <c r="B254" s="13"/>
      <c r="C254" s="13"/>
      <c r="D254" s="13"/>
      <c r="E254" s="13"/>
      <c r="F254" s="13"/>
    </row>
    <row r="255" ht="15.75" customHeight="1">
      <c r="B255" s="13"/>
      <c r="C255" s="13"/>
      <c r="D255" s="13"/>
      <c r="E255" s="13"/>
      <c r="F255" s="13"/>
    </row>
    <row r="256" ht="15.75" customHeight="1">
      <c r="B256" s="13"/>
      <c r="C256" s="13"/>
      <c r="D256" s="13"/>
      <c r="E256" s="13"/>
      <c r="F256" s="13"/>
    </row>
    <row r="257" ht="15.75" customHeight="1">
      <c r="B257" s="13"/>
      <c r="C257" s="13"/>
      <c r="D257" s="13"/>
      <c r="E257" s="13"/>
      <c r="F257" s="13"/>
    </row>
    <row r="258" ht="15.75" customHeight="1">
      <c r="B258" s="13"/>
      <c r="C258" s="13"/>
      <c r="D258" s="13"/>
      <c r="E258" s="13"/>
      <c r="F258" s="13"/>
    </row>
    <row r="259" ht="15.75" customHeight="1">
      <c r="B259" s="13"/>
      <c r="C259" s="13"/>
      <c r="D259" s="13"/>
      <c r="E259" s="13"/>
      <c r="F259" s="13"/>
    </row>
    <row r="260" ht="15.75" customHeight="1">
      <c r="B260" s="13"/>
      <c r="C260" s="13"/>
      <c r="D260" s="13"/>
      <c r="E260" s="13"/>
      <c r="F260" s="13"/>
    </row>
    <row r="261" ht="15.75" customHeight="1">
      <c r="B261" s="13"/>
      <c r="C261" s="13"/>
      <c r="D261" s="13"/>
      <c r="E261" s="13"/>
      <c r="F261" s="13"/>
    </row>
    <row r="262" ht="15.75" customHeight="1">
      <c r="B262" s="13"/>
      <c r="C262" s="13"/>
      <c r="D262" s="13"/>
      <c r="E262" s="13"/>
      <c r="F262" s="13"/>
    </row>
    <row r="263" ht="15.75" customHeight="1">
      <c r="B263" s="13"/>
      <c r="C263" s="13"/>
      <c r="D263" s="13"/>
      <c r="E263" s="13"/>
      <c r="F263" s="13"/>
    </row>
    <row r="264" ht="15.75" customHeight="1">
      <c r="B264" s="13"/>
      <c r="C264" s="13"/>
      <c r="D264" s="13"/>
      <c r="E264" s="13"/>
      <c r="F264" s="13"/>
    </row>
    <row r="265" ht="15.75" customHeight="1">
      <c r="B265" s="13"/>
      <c r="C265" s="13"/>
      <c r="D265" s="13"/>
      <c r="E265" s="13"/>
      <c r="F265" s="13"/>
    </row>
    <row r="266" ht="15.75" customHeight="1">
      <c r="B266" s="13"/>
      <c r="C266" s="13"/>
      <c r="D266" s="13"/>
      <c r="E266" s="13"/>
      <c r="F266" s="13"/>
    </row>
    <row r="267" ht="15.75" customHeight="1">
      <c r="B267" s="13"/>
      <c r="C267" s="13"/>
      <c r="D267" s="13"/>
      <c r="E267" s="13"/>
      <c r="F267" s="13"/>
    </row>
    <row r="268" ht="15.75" customHeight="1">
      <c r="B268" s="13"/>
      <c r="C268" s="13"/>
      <c r="D268" s="13"/>
      <c r="E268" s="13"/>
      <c r="F268" s="13"/>
    </row>
    <row r="269" ht="15.75" customHeight="1">
      <c r="B269" s="13"/>
      <c r="C269" s="13"/>
      <c r="D269" s="13"/>
      <c r="E269" s="13"/>
      <c r="F269" s="13"/>
    </row>
    <row r="270" ht="15.75" customHeight="1">
      <c r="B270" s="13"/>
      <c r="C270" s="13"/>
      <c r="D270" s="13"/>
      <c r="E270" s="13"/>
      <c r="F270" s="13"/>
    </row>
    <row r="271" ht="15.75" customHeight="1">
      <c r="B271" s="13"/>
      <c r="C271" s="13"/>
      <c r="D271" s="13"/>
      <c r="E271" s="13"/>
      <c r="F271" s="13"/>
    </row>
    <row r="272" ht="15.75" customHeight="1">
      <c r="B272" s="13"/>
      <c r="C272" s="13"/>
      <c r="D272" s="13"/>
      <c r="E272" s="13"/>
      <c r="F272" s="13"/>
    </row>
    <row r="273" ht="15.75" customHeight="1">
      <c r="B273" s="13"/>
      <c r="C273" s="13"/>
      <c r="D273" s="13"/>
      <c r="E273" s="13"/>
      <c r="F273" s="13"/>
    </row>
    <row r="274" ht="15.75" customHeight="1">
      <c r="B274" s="13"/>
      <c r="C274" s="13"/>
      <c r="D274" s="13"/>
      <c r="E274" s="13"/>
      <c r="F274" s="13"/>
    </row>
    <row r="275" ht="15.75" customHeight="1">
      <c r="B275" s="13"/>
      <c r="C275" s="13"/>
      <c r="D275" s="13"/>
      <c r="E275" s="13"/>
      <c r="F275" s="13"/>
    </row>
    <row r="276" ht="15.75" customHeight="1">
      <c r="B276" s="13"/>
      <c r="C276" s="13"/>
      <c r="D276" s="13"/>
      <c r="E276" s="13"/>
      <c r="F276" s="13"/>
    </row>
    <row r="277" ht="15.75" customHeight="1">
      <c r="B277" s="13"/>
      <c r="C277" s="13"/>
      <c r="D277" s="13"/>
      <c r="E277" s="13"/>
      <c r="F277" s="13"/>
    </row>
    <row r="278" ht="15.75" customHeight="1">
      <c r="B278" s="13"/>
      <c r="C278" s="13"/>
      <c r="D278" s="13"/>
      <c r="E278" s="13"/>
      <c r="F278" s="13"/>
    </row>
    <row r="279" ht="15.75" customHeight="1">
      <c r="B279" s="13"/>
      <c r="C279" s="13"/>
      <c r="D279" s="13"/>
      <c r="E279" s="13"/>
      <c r="F279" s="13"/>
    </row>
    <row r="280" ht="15.75" customHeight="1">
      <c r="B280" s="13"/>
      <c r="C280" s="13"/>
      <c r="D280" s="13"/>
      <c r="E280" s="13"/>
      <c r="F280" s="13"/>
    </row>
    <row r="281" ht="15.75" customHeight="1">
      <c r="B281" s="13"/>
      <c r="C281" s="13"/>
      <c r="D281" s="13"/>
      <c r="E281" s="13"/>
      <c r="F281" s="13"/>
    </row>
    <row r="282" ht="15.75" customHeight="1">
      <c r="B282" s="13"/>
      <c r="C282" s="13"/>
      <c r="D282" s="13"/>
      <c r="E282" s="13"/>
      <c r="F282" s="13"/>
    </row>
    <row r="283" ht="15.75" customHeight="1">
      <c r="B283" s="13"/>
      <c r="C283" s="13"/>
      <c r="D283" s="13"/>
      <c r="E283" s="13"/>
      <c r="F283" s="13"/>
    </row>
    <row r="284" ht="15.75" customHeight="1">
      <c r="B284" s="13"/>
      <c r="C284" s="13"/>
      <c r="D284" s="13"/>
      <c r="E284" s="13"/>
      <c r="F284" s="13"/>
    </row>
    <row r="285" ht="15.75" customHeight="1">
      <c r="B285" s="13"/>
      <c r="C285" s="13"/>
      <c r="D285" s="13"/>
      <c r="E285" s="13"/>
      <c r="F285" s="13"/>
    </row>
    <row r="286" ht="15.75" customHeight="1">
      <c r="B286" s="13"/>
      <c r="C286" s="13"/>
      <c r="D286" s="13"/>
      <c r="E286" s="13"/>
      <c r="F286" s="13"/>
    </row>
    <row r="287" ht="15.75" customHeight="1">
      <c r="B287" s="13"/>
      <c r="C287" s="13"/>
      <c r="D287" s="13"/>
      <c r="E287" s="13"/>
      <c r="F287" s="13"/>
    </row>
    <row r="288" ht="15.75" customHeight="1">
      <c r="B288" s="13"/>
      <c r="C288" s="13"/>
      <c r="D288" s="13"/>
      <c r="E288" s="13"/>
      <c r="F288" s="13"/>
    </row>
    <row r="289" ht="15.75" customHeight="1">
      <c r="B289" s="13"/>
      <c r="C289" s="13"/>
      <c r="D289" s="13"/>
      <c r="E289" s="13"/>
      <c r="F289" s="13"/>
    </row>
    <row r="290" ht="15.75" customHeight="1">
      <c r="B290" s="13"/>
      <c r="C290" s="13"/>
      <c r="D290" s="13"/>
      <c r="E290" s="13"/>
      <c r="F290" s="13"/>
    </row>
    <row r="291" ht="15.75" customHeight="1">
      <c r="B291" s="13"/>
      <c r="C291" s="13"/>
      <c r="D291" s="13"/>
      <c r="E291" s="13"/>
      <c r="F291" s="13"/>
    </row>
    <row r="292" ht="15.75" customHeight="1">
      <c r="B292" s="13"/>
      <c r="C292" s="13"/>
      <c r="D292" s="13"/>
      <c r="E292" s="13"/>
      <c r="F292" s="13"/>
    </row>
    <row r="293" ht="15.75" customHeight="1">
      <c r="B293" s="13"/>
      <c r="C293" s="13"/>
      <c r="D293" s="13"/>
      <c r="E293" s="13"/>
      <c r="F293" s="13"/>
    </row>
    <row r="294" ht="15.75" customHeight="1">
      <c r="B294" s="13"/>
      <c r="C294" s="13"/>
      <c r="D294" s="13"/>
      <c r="E294" s="13"/>
      <c r="F294" s="13"/>
    </row>
    <row r="295" ht="15.75" customHeight="1">
      <c r="B295" s="13"/>
      <c r="C295" s="13"/>
      <c r="D295" s="13"/>
      <c r="E295" s="13"/>
      <c r="F295" s="13"/>
    </row>
    <row r="296" ht="15.75" customHeight="1">
      <c r="B296" s="13"/>
      <c r="C296" s="13"/>
      <c r="D296" s="13"/>
      <c r="E296" s="13"/>
      <c r="F296" s="13"/>
    </row>
    <row r="297" ht="15.75" customHeight="1">
      <c r="B297" s="13"/>
      <c r="C297" s="13"/>
      <c r="D297" s="13"/>
      <c r="E297" s="13"/>
      <c r="F297" s="13"/>
    </row>
    <row r="298" ht="15.75" customHeight="1">
      <c r="B298" s="13"/>
      <c r="C298" s="13"/>
      <c r="D298" s="13"/>
      <c r="E298" s="13"/>
      <c r="F298" s="13"/>
    </row>
    <row r="299" ht="15.75" customHeight="1">
      <c r="B299" s="13"/>
      <c r="C299" s="13"/>
      <c r="D299" s="13"/>
      <c r="E299" s="13"/>
      <c r="F299" s="13"/>
    </row>
    <row r="300" ht="15.75" customHeight="1">
      <c r="B300" s="13"/>
      <c r="C300" s="13"/>
      <c r="D300" s="13"/>
      <c r="E300" s="13"/>
      <c r="F300" s="13"/>
    </row>
    <row r="301" ht="15.75" customHeight="1">
      <c r="B301" s="13"/>
      <c r="C301" s="13"/>
      <c r="D301" s="13"/>
      <c r="E301" s="13"/>
      <c r="F301" s="13"/>
    </row>
    <row r="302" ht="15.75" customHeight="1">
      <c r="B302" s="13"/>
      <c r="C302" s="13"/>
      <c r="D302" s="13"/>
      <c r="E302" s="13"/>
      <c r="F302" s="13"/>
    </row>
    <row r="303" ht="15.75" customHeight="1">
      <c r="B303" s="13"/>
      <c r="C303" s="13"/>
      <c r="D303" s="13"/>
      <c r="E303" s="13"/>
      <c r="F303" s="13"/>
    </row>
    <row r="304" ht="15.75" customHeight="1">
      <c r="B304" s="13"/>
      <c r="C304" s="13"/>
      <c r="D304" s="13"/>
      <c r="E304" s="13"/>
      <c r="F304" s="13"/>
    </row>
    <row r="305" ht="15.75" customHeight="1">
      <c r="B305" s="13"/>
      <c r="C305" s="13"/>
      <c r="D305" s="13"/>
      <c r="E305" s="13"/>
      <c r="F305" s="13"/>
    </row>
    <row r="306" ht="15.75" customHeight="1">
      <c r="B306" s="13"/>
      <c r="C306" s="13"/>
      <c r="D306" s="13"/>
      <c r="E306" s="13"/>
      <c r="F306" s="13"/>
    </row>
    <row r="307" ht="15.75" customHeight="1">
      <c r="B307" s="13"/>
      <c r="C307" s="13"/>
      <c r="D307" s="13"/>
      <c r="E307" s="13"/>
      <c r="F307" s="13"/>
    </row>
    <row r="308" ht="15.75" customHeight="1">
      <c r="B308" s="13"/>
      <c r="C308" s="13"/>
      <c r="D308" s="13"/>
      <c r="E308" s="13"/>
      <c r="F308" s="13"/>
    </row>
    <row r="309" ht="15.75" customHeight="1">
      <c r="B309" s="13"/>
      <c r="C309" s="13"/>
      <c r="D309" s="13"/>
      <c r="E309" s="13"/>
      <c r="F309" s="13"/>
    </row>
    <row r="310" ht="15.75" customHeight="1">
      <c r="B310" s="13"/>
      <c r="C310" s="13"/>
      <c r="D310" s="13"/>
      <c r="E310" s="13"/>
      <c r="F310" s="13"/>
    </row>
    <row r="311" ht="15.75" customHeight="1">
      <c r="B311" s="13"/>
      <c r="C311" s="13"/>
      <c r="D311" s="13"/>
      <c r="E311" s="13"/>
      <c r="F311" s="13"/>
    </row>
    <row r="312" ht="15.75" customHeight="1">
      <c r="B312" s="13"/>
      <c r="C312" s="13"/>
      <c r="D312" s="13"/>
      <c r="E312" s="13"/>
      <c r="F312" s="13"/>
    </row>
    <row r="313" ht="15.75" customHeight="1">
      <c r="B313" s="13"/>
      <c r="C313" s="13"/>
      <c r="D313" s="13"/>
      <c r="E313" s="13"/>
      <c r="F313" s="13"/>
    </row>
    <row r="314" ht="15.75" customHeight="1">
      <c r="B314" s="13"/>
      <c r="C314" s="13"/>
      <c r="D314" s="13"/>
      <c r="E314" s="13"/>
      <c r="F314" s="13"/>
    </row>
    <row r="315" ht="15.75" customHeight="1">
      <c r="B315" s="13"/>
      <c r="C315" s="13"/>
      <c r="D315" s="13"/>
      <c r="E315" s="13"/>
      <c r="F315" s="13"/>
    </row>
    <row r="316" ht="15.75" customHeight="1">
      <c r="B316" s="13"/>
      <c r="C316" s="13"/>
      <c r="D316" s="13"/>
      <c r="E316" s="13"/>
      <c r="F316" s="13"/>
    </row>
    <row r="317" ht="15.75" customHeight="1">
      <c r="B317" s="13"/>
      <c r="C317" s="13"/>
      <c r="D317" s="13"/>
      <c r="E317" s="13"/>
      <c r="F317" s="13"/>
    </row>
    <row r="318" ht="15.75" customHeight="1">
      <c r="B318" s="13"/>
      <c r="C318" s="13"/>
      <c r="D318" s="13"/>
      <c r="E318" s="13"/>
      <c r="F318" s="13"/>
    </row>
    <row r="319" ht="15.75" customHeight="1">
      <c r="B319" s="13"/>
      <c r="C319" s="13"/>
      <c r="D319" s="13"/>
      <c r="E319" s="13"/>
      <c r="F319" s="13"/>
    </row>
    <row r="320" ht="15.75" customHeight="1">
      <c r="B320" s="13"/>
      <c r="C320" s="13"/>
      <c r="D320" s="13"/>
      <c r="E320" s="13"/>
      <c r="F320" s="13"/>
    </row>
    <row r="321" ht="15.75" customHeight="1">
      <c r="B321" s="13"/>
      <c r="C321" s="13"/>
      <c r="D321" s="13"/>
      <c r="E321" s="13"/>
      <c r="F321" s="13"/>
    </row>
    <row r="322" ht="15.75" customHeight="1">
      <c r="B322" s="13"/>
      <c r="C322" s="13"/>
      <c r="D322" s="13"/>
      <c r="E322" s="13"/>
      <c r="F322" s="13"/>
    </row>
    <row r="323" ht="15.75" customHeight="1">
      <c r="B323" s="13"/>
      <c r="C323" s="13"/>
      <c r="D323" s="13"/>
      <c r="E323" s="13"/>
      <c r="F323" s="13"/>
    </row>
    <row r="324" ht="15.75" customHeight="1">
      <c r="B324" s="13"/>
      <c r="C324" s="13"/>
      <c r="D324" s="13"/>
      <c r="E324" s="13"/>
      <c r="F324" s="13"/>
    </row>
    <row r="325" ht="15.75" customHeight="1">
      <c r="B325" s="13"/>
      <c r="C325" s="13"/>
      <c r="D325" s="13"/>
      <c r="E325" s="13"/>
      <c r="F325" s="13"/>
    </row>
    <row r="326" ht="15.75" customHeight="1">
      <c r="B326" s="13"/>
      <c r="C326" s="13"/>
      <c r="D326" s="13"/>
      <c r="E326" s="13"/>
      <c r="F326" s="13"/>
    </row>
    <row r="327" ht="15.75" customHeight="1">
      <c r="B327" s="13"/>
      <c r="C327" s="13"/>
      <c r="D327" s="13"/>
      <c r="E327" s="13"/>
      <c r="F327" s="13"/>
    </row>
    <row r="328" ht="15.75" customHeight="1">
      <c r="B328" s="13"/>
      <c r="C328" s="13"/>
      <c r="D328" s="13"/>
      <c r="E328" s="13"/>
      <c r="F328" s="13"/>
    </row>
    <row r="329" ht="15.75" customHeight="1">
      <c r="B329" s="13"/>
      <c r="C329" s="13"/>
      <c r="D329" s="13"/>
      <c r="E329" s="13"/>
      <c r="F329" s="13"/>
    </row>
    <row r="330" ht="15.75" customHeight="1">
      <c r="B330" s="13"/>
      <c r="C330" s="13"/>
      <c r="D330" s="13"/>
      <c r="E330" s="13"/>
      <c r="F330" s="13"/>
    </row>
    <row r="331" ht="15.75" customHeight="1">
      <c r="B331" s="13"/>
      <c r="C331" s="13"/>
      <c r="D331" s="13"/>
      <c r="E331" s="13"/>
      <c r="F331" s="13"/>
    </row>
    <row r="332" ht="15.75" customHeight="1">
      <c r="B332" s="13"/>
      <c r="C332" s="13"/>
      <c r="D332" s="13"/>
      <c r="E332" s="13"/>
      <c r="F332" s="13"/>
    </row>
    <row r="333" ht="15.75" customHeight="1">
      <c r="B333" s="13"/>
      <c r="C333" s="13"/>
      <c r="D333" s="13"/>
      <c r="E333" s="13"/>
      <c r="F333" s="13"/>
    </row>
    <row r="334" ht="15.75" customHeight="1">
      <c r="B334" s="13"/>
      <c r="C334" s="13"/>
      <c r="D334" s="13"/>
      <c r="E334" s="13"/>
      <c r="F334" s="13"/>
    </row>
    <row r="335" ht="15.75" customHeight="1">
      <c r="B335" s="13"/>
      <c r="C335" s="13"/>
      <c r="D335" s="13"/>
      <c r="E335" s="13"/>
      <c r="F335" s="13"/>
    </row>
    <row r="336" ht="15.75" customHeight="1">
      <c r="B336" s="13"/>
      <c r="C336" s="13"/>
      <c r="D336" s="13"/>
      <c r="E336" s="13"/>
      <c r="F336" s="13"/>
    </row>
    <row r="337" ht="15.75" customHeight="1">
      <c r="B337" s="13"/>
      <c r="C337" s="13"/>
      <c r="D337" s="13"/>
      <c r="E337" s="13"/>
      <c r="F337" s="13"/>
    </row>
    <row r="338" ht="15.75" customHeight="1">
      <c r="B338" s="13"/>
      <c r="C338" s="13"/>
      <c r="D338" s="13"/>
      <c r="E338" s="13"/>
      <c r="F338" s="13"/>
    </row>
    <row r="339" ht="15.75" customHeight="1">
      <c r="B339" s="13"/>
      <c r="C339" s="13"/>
      <c r="D339" s="13"/>
      <c r="E339" s="13"/>
      <c r="F339" s="13"/>
    </row>
    <row r="340" ht="15.75" customHeight="1">
      <c r="B340" s="13"/>
      <c r="C340" s="13"/>
      <c r="D340" s="13"/>
      <c r="E340" s="13"/>
      <c r="F340" s="13"/>
    </row>
    <row r="341" ht="15.75" customHeight="1">
      <c r="B341" s="13"/>
      <c r="C341" s="13"/>
      <c r="D341" s="13"/>
      <c r="E341" s="13"/>
      <c r="F341" s="13"/>
    </row>
    <row r="342" ht="15.75" customHeight="1">
      <c r="B342" s="13"/>
      <c r="C342" s="13"/>
      <c r="D342" s="13"/>
      <c r="E342" s="13"/>
      <c r="F342" s="13"/>
    </row>
    <row r="343" ht="15.75" customHeight="1">
      <c r="B343" s="13"/>
      <c r="C343" s="13"/>
      <c r="D343" s="13"/>
      <c r="E343" s="13"/>
      <c r="F343" s="13"/>
    </row>
    <row r="344" ht="15.75" customHeight="1">
      <c r="B344" s="13"/>
      <c r="C344" s="13"/>
      <c r="D344" s="13"/>
      <c r="E344" s="13"/>
      <c r="F344" s="13"/>
    </row>
    <row r="345" ht="15.75" customHeight="1">
      <c r="B345" s="13"/>
      <c r="C345" s="13"/>
      <c r="D345" s="13"/>
      <c r="E345" s="13"/>
      <c r="F345" s="13"/>
    </row>
    <row r="346" ht="15.75" customHeight="1">
      <c r="B346" s="13"/>
      <c r="C346" s="13"/>
      <c r="D346" s="13"/>
      <c r="E346" s="13"/>
      <c r="F346" s="13"/>
    </row>
    <row r="347" ht="15.75" customHeight="1">
      <c r="B347" s="13"/>
      <c r="C347" s="13"/>
      <c r="D347" s="13"/>
      <c r="E347" s="13"/>
      <c r="F347" s="13"/>
    </row>
    <row r="348" ht="15.75" customHeight="1">
      <c r="B348" s="13"/>
      <c r="C348" s="13"/>
      <c r="D348" s="13"/>
      <c r="E348" s="13"/>
      <c r="F348" s="13"/>
    </row>
    <row r="349" ht="15.75" customHeight="1">
      <c r="B349" s="13"/>
      <c r="C349" s="13"/>
      <c r="D349" s="13"/>
      <c r="E349" s="13"/>
      <c r="F349" s="13"/>
    </row>
    <row r="350" ht="15.75" customHeight="1">
      <c r="B350" s="13"/>
      <c r="C350" s="13"/>
      <c r="D350" s="13"/>
      <c r="E350" s="13"/>
      <c r="F350" s="13"/>
    </row>
    <row r="351" ht="15.75" customHeight="1">
      <c r="B351" s="13"/>
      <c r="C351" s="13"/>
      <c r="D351" s="13"/>
      <c r="E351" s="13"/>
      <c r="F351" s="13"/>
    </row>
    <row r="352" ht="15.75" customHeight="1">
      <c r="B352" s="13"/>
      <c r="C352" s="13"/>
      <c r="D352" s="13"/>
      <c r="E352" s="13"/>
      <c r="F352" s="13"/>
    </row>
    <row r="353" ht="15.75" customHeight="1">
      <c r="B353" s="13"/>
      <c r="C353" s="13"/>
      <c r="D353" s="13"/>
      <c r="E353" s="13"/>
      <c r="F353" s="13"/>
    </row>
    <row r="354" ht="15.75" customHeight="1">
      <c r="B354" s="13"/>
      <c r="C354" s="13"/>
      <c r="D354" s="13"/>
      <c r="E354" s="13"/>
      <c r="F354" s="13"/>
    </row>
    <row r="355" ht="15.75" customHeight="1">
      <c r="B355" s="13"/>
      <c r="C355" s="13"/>
      <c r="D355" s="13"/>
      <c r="E355" s="13"/>
      <c r="F355" s="13"/>
    </row>
    <row r="356" ht="15.75" customHeight="1">
      <c r="B356" s="13"/>
      <c r="C356" s="13"/>
      <c r="D356" s="13"/>
      <c r="E356" s="13"/>
      <c r="F356" s="13"/>
    </row>
    <row r="357" ht="15.75" customHeight="1">
      <c r="B357" s="13"/>
      <c r="C357" s="13"/>
      <c r="D357" s="13"/>
      <c r="E357" s="13"/>
      <c r="F357" s="13"/>
    </row>
    <row r="358" ht="15.75" customHeight="1">
      <c r="B358" s="13"/>
      <c r="C358" s="13"/>
      <c r="D358" s="13"/>
      <c r="E358" s="13"/>
      <c r="F358" s="13"/>
    </row>
    <row r="359" ht="15.75" customHeight="1">
      <c r="B359" s="13"/>
      <c r="C359" s="13"/>
      <c r="D359" s="13"/>
      <c r="E359" s="13"/>
      <c r="F359" s="13"/>
    </row>
    <row r="360" ht="15.75" customHeight="1">
      <c r="B360" s="13"/>
      <c r="C360" s="13"/>
      <c r="D360" s="13"/>
      <c r="E360" s="13"/>
      <c r="F360" s="13"/>
    </row>
    <row r="361" ht="15.75" customHeight="1">
      <c r="B361" s="13"/>
      <c r="C361" s="13"/>
      <c r="D361" s="13"/>
      <c r="E361" s="13"/>
      <c r="F361" s="13"/>
    </row>
    <row r="362" ht="15.75" customHeight="1">
      <c r="B362" s="13"/>
      <c r="C362" s="13"/>
      <c r="D362" s="13"/>
      <c r="E362" s="13"/>
      <c r="F362" s="13"/>
    </row>
    <row r="363" ht="15.75" customHeight="1">
      <c r="B363" s="13"/>
      <c r="C363" s="13"/>
      <c r="D363" s="13"/>
      <c r="E363" s="13"/>
      <c r="F363" s="13"/>
    </row>
    <row r="364" ht="15.75" customHeight="1">
      <c r="B364" s="13"/>
      <c r="C364" s="13"/>
      <c r="D364" s="13"/>
      <c r="E364" s="13"/>
      <c r="F364" s="13"/>
    </row>
    <row r="365" ht="15.75" customHeight="1">
      <c r="B365" s="13"/>
      <c r="C365" s="13"/>
      <c r="D365" s="13"/>
      <c r="E365" s="13"/>
      <c r="F365" s="13"/>
    </row>
    <row r="366" ht="15.75" customHeight="1">
      <c r="B366" s="13"/>
      <c r="C366" s="13"/>
      <c r="D366" s="13"/>
      <c r="E366" s="13"/>
      <c r="F366" s="13"/>
    </row>
    <row r="367" ht="15.75" customHeight="1">
      <c r="B367" s="13"/>
      <c r="C367" s="13"/>
      <c r="D367" s="13"/>
      <c r="E367" s="13"/>
      <c r="F367" s="13"/>
    </row>
    <row r="368" ht="15.75" customHeight="1">
      <c r="B368" s="13"/>
      <c r="C368" s="13"/>
      <c r="D368" s="13"/>
      <c r="E368" s="13"/>
      <c r="F368" s="13"/>
    </row>
    <row r="369" ht="15.75" customHeight="1">
      <c r="B369" s="13"/>
      <c r="C369" s="13"/>
      <c r="D369" s="13"/>
      <c r="E369" s="13"/>
      <c r="F369" s="13"/>
    </row>
    <row r="370" ht="15.75" customHeight="1">
      <c r="B370" s="13"/>
      <c r="C370" s="13"/>
      <c r="D370" s="13"/>
      <c r="E370" s="13"/>
      <c r="F370" s="13"/>
    </row>
    <row r="371" ht="15.75" customHeight="1">
      <c r="B371" s="13"/>
      <c r="C371" s="13"/>
      <c r="D371" s="13"/>
      <c r="E371" s="13"/>
      <c r="F371" s="13"/>
    </row>
    <row r="372" ht="15.75" customHeight="1">
      <c r="B372" s="13"/>
      <c r="C372" s="13"/>
      <c r="D372" s="13"/>
      <c r="E372" s="13"/>
      <c r="F372" s="13"/>
    </row>
    <row r="373" ht="15.75" customHeight="1">
      <c r="B373" s="13"/>
      <c r="C373" s="13"/>
      <c r="D373" s="13"/>
      <c r="E373" s="13"/>
      <c r="F373" s="13"/>
    </row>
    <row r="374" ht="15.75" customHeight="1">
      <c r="B374" s="13"/>
      <c r="C374" s="13"/>
      <c r="D374" s="13"/>
      <c r="E374" s="13"/>
      <c r="F374" s="13"/>
    </row>
    <row r="375" ht="15.75" customHeight="1">
      <c r="B375" s="13"/>
      <c r="C375" s="13"/>
      <c r="D375" s="13"/>
      <c r="E375" s="13"/>
      <c r="F375" s="13"/>
    </row>
    <row r="376" ht="15.75" customHeight="1">
      <c r="B376" s="13"/>
      <c r="C376" s="13"/>
      <c r="D376" s="13"/>
      <c r="E376" s="13"/>
      <c r="F376" s="13"/>
    </row>
    <row r="377" ht="15.75" customHeight="1">
      <c r="B377" s="13"/>
      <c r="C377" s="13"/>
      <c r="D377" s="13"/>
      <c r="E377" s="13"/>
      <c r="F377" s="13"/>
    </row>
    <row r="378" ht="15.75" customHeight="1">
      <c r="B378" s="13"/>
      <c r="C378" s="13"/>
      <c r="D378" s="13"/>
      <c r="E378" s="13"/>
      <c r="F378" s="13"/>
    </row>
    <row r="379" ht="15.75" customHeight="1">
      <c r="B379" s="13"/>
      <c r="C379" s="13"/>
      <c r="D379" s="13"/>
      <c r="E379" s="13"/>
      <c r="F379" s="13"/>
    </row>
    <row r="380" ht="15.75" customHeight="1">
      <c r="B380" s="13"/>
      <c r="C380" s="13"/>
      <c r="D380" s="13"/>
      <c r="E380" s="13"/>
      <c r="F380" s="13"/>
    </row>
    <row r="381" ht="15.75" customHeight="1">
      <c r="B381" s="13"/>
      <c r="C381" s="13"/>
      <c r="D381" s="13"/>
      <c r="E381" s="13"/>
      <c r="F381" s="13"/>
    </row>
    <row r="382" ht="15.75" customHeight="1">
      <c r="B382" s="13"/>
      <c r="C382" s="13"/>
      <c r="D382" s="13"/>
      <c r="E382" s="13"/>
      <c r="F382" s="13"/>
    </row>
    <row r="383" ht="15.75" customHeight="1">
      <c r="B383" s="13"/>
      <c r="C383" s="13"/>
      <c r="D383" s="13"/>
      <c r="E383" s="13"/>
      <c r="F383" s="13"/>
    </row>
    <row r="384" ht="15.75" customHeight="1">
      <c r="B384" s="13"/>
      <c r="C384" s="13"/>
      <c r="D384" s="13"/>
      <c r="E384" s="13"/>
      <c r="F384" s="13"/>
    </row>
    <row r="385" ht="15.75" customHeight="1">
      <c r="B385" s="13"/>
      <c r="C385" s="13"/>
      <c r="D385" s="13"/>
      <c r="E385" s="13"/>
      <c r="F385" s="13"/>
    </row>
    <row r="386" ht="15.75" customHeight="1">
      <c r="B386" s="13"/>
      <c r="C386" s="13"/>
      <c r="D386" s="13"/>
      <c r="E386" s="13"/>
      <c r="F386" s="13"/>
    </row>
    <row r="387" ht="15.75" customHeight="1">
      <c r="B387" s="13"/>
      <c r="C387" s="13"/>
      <c r="D387" s="13"/>
      <c r="E387" s="13"/>
      <c r="F387" s="13"/>
    </row>
    <row r="388" ht="15.75" customHeight="1">
      <c r="B388" s="13"/>
      <c r="C388" s="13"/>
      <c r="D388" s="13"/>
      <c r="E388" s="13"/>
      <c r="F388" s="13"/>
    </row>
    <row r="389" ht="15.75" customHeight="1">
      <c r="B389" s="13"/>
      <c r="C389" s="13"/>
      <c r="D389" s="13"/>
      <c r="E389" s="13"/>
      <c r="F389" s="13"/>
    </row>
    <row r="390" ht="15.75" customHeight="1">
      <c r="B390" s="13"/>
      <c r="C390" s="13"/>
      <c r="D390" s="13"/>
      <c r="E390" s="13"/>
      <c r="F390" s="13"/>
    </row>
    <row r="391" ht="15.75" customHeight="1">
      <c r="B391" s="13"/>
      <c r="C391" s="13"/>
      <c r="D391" s="13"/>
      <c r="E391" s="13"/>
      <c r="F391" s="13"/>
    </row>
    <row r="392" ht="15.75" customHeight="1">
      <c r="B392" s="13"/>
      <c r="C392" s="13"/>
      <c r="D392" s="13"/>
      <c r="E392" s="13"/>
      <c r="F392" s="13"/>
    </row>
    <row r="393" ht="15.75" customHeight="1">
      <c r="B393" s="13"/>
      <c r="C393" s="13"/>
      <c r="D393" s="13"/>
      <c r="E393" s="13"/>
      <c r="F393" s="13"/>
    </row>
    <row r="394" ht="15.75" customHeight="1">
      <c r="B394" s="13"/>
      <c r="C394" s="13"/>
      <c r="D394" s="13"/>
      <c r="E394" s="13"/>
      <c r="F394" s="13"/>
    </row>
    <row r="395" ht="15.75" customHeight="1">
      <c r="B395" s="13"/>
      <c r="C395" s="13"/>
      <c r="D395" s="13"/>
      <c r="E395" s="13"/>
      <c r="F395" s="13"/>
    </row>
    <row r="396" ht="15.75" customHeight="1">
      <c r="B396" s="13"/>
      <c r="C396" s="13"/>
      <c r="D396" s="13"/>
      <c r="E396" s="13"/>
      <c r="F396" s="13"/>
    </row>
    <row r="397" ht="15.75" customHeight="1">
      <c r="B397" s="13"/>
      <c r="C397" s="13"/>
      <c r="D397" s="13"/>
      <c r="E397" s="13"/>
      <c r="F397" s="13"/>
    </row>
    <row r="398" ht="15.75" customHeight="1">
      <c r="B398" s="13"/>
      <c r="C398" s="13"/>
      <c r="D398" s="13"/>
      <c r="E398" s="13"/>
      <c r="F398" s="13"/>
    </row>
    <row r="399" ht="15.75" customHeight="1">
      <c r="B399" s="13"/>
      <c r="C399" s="13"/>
      <c r="D399" s="13"/>
      <c r="E399" s="13"/>
      <c r="F399" s="13"/>
    </row>
    <row r="400" ht="15.75" customHeight="1">
      <c r="B400" s="13"/>
      <c r="C400" s="13"/>
      <c r="D400" s="13"/>
      <c r="E400" s="13"/>
      <c r="F400" s="13"/>
    </row>
    <row r="401" ht="15.75" customHeight="1">
      <c r="B401" s="13"/>
      <c r="C401" s="13"/>
      <c r="D401" s="13"/>
      <c r="E401" s="13"/>
      <c r="F401" s="13"/>
    </row>
    <row r="402" ht="15.75" customHeight="1">
      <c r="B402" s="13"/>
      <c r="C402" s="13"/>
      <c r="D402" s="13"/>
      <c r="E402" s="13"/>
      <c r="F402" s="13"/>
    </row>
    <row r="403" ht="15.75" customHeight="1">
      <c r="B403" s="13"/>
      <c r="C403" s="13"/>
      <c r="D403" s="13"/>
      <c r="E403" s="13"/>
      <c r="F403" s="13"/>
    </row>
    <row r="404" ht="15.75" customHeight="1">
      <c r="B404" s="13"/>
      <c r="C404" s="13"/>
      <c r="D404" s="13"/>
      <c r="E404" s="13"/>
      <c r="F404" s="13"/>
    </row>
    <row r="405" ht="15.75" customHeight="1">
      <c r="B405" s="13"/>
      <c r="C405" s="13"/>
      <c r="D405" s="13"/>
      <c r="E405" s="13"/>
      <c r="F405" s="13"/>
    </row>
    <row r="406" ht="15.75" customHeight="1">
      <c r="B406" s="13"/>
      <c r="C406" s="13"/>
      <c r="D406" s="13"/>
      <c r="E406" s="13"/>
      <c r="F406" s="13"/>
    </row>
    <row r="407" ht="15.75" customHeight="1">
      <c r="B407" s="13"/>
      <c r="C407" s="13"/>
      <c r="D407" s="13"/>
      <c r="E407" s="13"/>
      <c r="F407" s="13"/>
    </row>
    <row r="408" ht="15.75" customHeight="1">
      <c r="B408" s="13"/>
      <c r="C408" s="13"/>
      <c r="D408" s="13"/>
      <c r="E408" s="13"/>
      <c r="F408" s="13"/>
    </row>
    <row r="409" ht="15.75" customHeight="1">
      <c r="B409" s="13"/>
      <c r="C409" s="13"/>
      <c r="D409" s="13"/>
      <c r="E409" s="13"/>
      <c r="F409" s="13"/>
    </row>
    <row r="410" ht="15.75" customHeight="1">
      <c r="B410" s="13"/>
      <c r="C410" s="13"/>
      <c r="D410" s="13"/>
      <c r="E410" s="13"/>
      <c r="F410" s="13"/>
    </row>
    <row r="411" ht="15.75" customHeight="1">
      <c r="B411" s="13"/>
      <c r="C411" s="13"/>
      <c r="D411" s="13"/>
      <c r="E411" s="13"/>
      <c r="F411" s="13"/>
    </row>
    <row r="412" ht="15.75" customHeight="1">
      <c r="B412" s="13"/>
      <c r="C412" s="13"/>
      <c r="D412" s="13"/>
      <c r="E412" s="13"/>
      <c r="F412" s="13"/>
    </row>
    <row r="413" ht="15.75" customHeight="1">
      <c r="B413" s="13"/>
      <c r="C413" s="13"/>
      <c r="D413" s="13"/>
      <c r="E413" s="13"/>
      <c r="F413" s="13"/>
    </row>
    <row r="414" ht="15.75" customHeight="1">
      <c r="B414" s="13"/>
      <c r="C414" s="13"/>
      <c r="D414" s="13"/>
      <c r="E414" s="13"/>
      <c r="F414" s="13"/>
    </row>
    <row r="415" ht="15.75" customHeight="1">
      <c r="B415" s="13"/>
      <c r="C415" s="13"/>
      <c r="D415" s="13"/>
      <c r="E415" s="13"/>
      <c r="F415" s="13"/>
    </row>
    <row r="416" ht="15.75" customHeight="1">
      <c r="B416" s="13"/>
      <c r="C416" s="13"/>
      <c r="D416" s="13"/>
      <c r="E416" s="13"/>
      <c r="F416" s="13"/>
    </row>
    <row r="417" ht="15.75" customHeight="1">
      <c r="B417" s="13"/>
      <c r="C417" s="13"/>
      <c r="D417" s="13"/>
      <c r="E417" s="13"/>
      <c r="F417" s="13"/>
    </row>
    <row r="418" ht="15.75" customHeight="1">
      <c r="B418" s="13"/>
      <c r="C418" s="13"/>
      <c r="D418" s="13"/>
      <c r="E418" s="13"/>
      <c r="F418" s="13"/>
    </row>
    <row r="419" ht="15.75" customHeight="1">
      <c r="B419" s="13"/>
      <c r="C419" s="13"/>
      <c r="D419" s="13"/>
      <c r="E419" s="13"/>
      <c r="F419" s="13"/>
    </row>
    <row r="420" ht="15.75" customHeight="1">
      <c r="B420" s="13"/>
      <c r="C420" s="13"/>
      <c r="D420" s="13"/>
      <c r="E420" s="13"/>
      <c r="F420" s="13"/>
    </row>
    <row r="421" ht="15.75" customHeight="1">
      <c r="B421" s="13"/>
      <c r="C421" s="13"/>
      <c r="D421" s="13"/>
      <c r="E421" s="13"/>
      <c r="F421" s="13"/>
    </row>
    <row r="422" ht="15.75" customHeight="1">
      <c r="B422" s="13"/>
      <c r="C422" s="13"/>
      <c r="D422" s="13"/>
      <c r="E422" s="13"/>
      <c r="F422" s="13"/>
    </row>
    <row r="423" ht="15.75" customHeight="1">
      <c r="B423" s="13"/>
      <c r="C423" s="13"/>
      <c r="D423" s="13"/>
      <c r="E423" s="13"/>
      <c r="F423" s="13"/>
    </row>
    <row r="424" ht="15.75" customHeight="1">
      <c r="B424" s="13"/>
      <c r="C424" s="13"/>
      <c r="D424" s="13"/>
      <c r="E424" s="13"/>
      <c r="F424" s="13"/>
    </row>
    <row r="425" ht="15.75" customHeight="1">
      <c r="B425" s="13"/>
      <c r="C425" s="13"/>
      <c r="D425" s="13"/>
      <c r="E425" s="13"/>
      <c r="F425" s="13"/>
    </row>
    <row r="426" ht="15.75" customHeight="1">
      <c r="B426" s="13"/>
      <c r="C426" s="13"/>
      <c r="D426" s="13"/>
      <c r="E426" s="13"/>
      <c r="F426" s="13"/>
    </row>
    <row r="427" ht="15.75" customHeight="1">
      <c r="B427" s="13"/>
      <c r="C427" s="13"/>
      <c r="D427" s="13"/>
      <c r="E427" s="13"/>
      <c r="F427" s="13"/>
    </row>
    <row r="428" ht="15.75" customHeight="1">
      <c r="B428" s="13"/>
      <c r="C428" s="13"/>
      <c r="D428" s="13"/>
      <c r="E428" s="13"/>
      <c r="F428" s="13"/>
    </row>
    <row r="429" ht="15.75" customHeight="1">
      <c r="B429" s="13"/>
      <c r="C429" s="13"/>
      <c r="D429" s="13"/>
      <c r="E429" s="13"/>
      <c r="F429" s="13"/>
    </row>
    <row r="430" ht="15.75" customHeight="1">
      <c r="B430" s="13"/>
      <c r="C430" s="13"/>
      <c r="D430" s="13"/>
      <c r="E430" s="13"/>
      <c r="F430" s="13"/>
    </row>
    <row r="431" ht="15.75" customHeight="1">
      <c r="B431" s="13"/>
      <c r="C431" s="13"/>
      <c r="D431" s="13"/>
      <c r="E431" s="13"/>
      <c r="F431" s="13"/>
    </row>
    <row r="432" ht="15.75" customHeight="1">
      <c r="B432" s="13"/>
      <c r="C432" s="13"/>
      <c r="D432" s="13"/>
      <c r="E432" s="13"/>
      <c r="F432" s="13"/>
    </row>
    <row r="433" ht="15.75" customHeight="1">
      <c r="B433" s="13"/>
      <c r="C433" s="13"/>
      <c r="D433" s="13"/>
      <c r="E433" s="13"/>
      <c r="F433" s="13"/>
    </row>
    <row r="434" ht="15.75" customHeight="1">
      <c r="B434" s="13"/>
      <c r="C434" s="13"/>
      <c r="D434" s="13"/>
      <c r="E434" s="13"/>
      <c r="F434" s="13"/>
    </row>
    <row r="435" ht="15.75" customHeight="1">
      <c r="B435" s="13"/>
      <c r="C435" s="13"/>
      <c r="D435" s="13"/>
      <c r="E435" s="13"/>
      <c r="F435" s="13"/>
    </row>
    <row r="436" ht="15.75" customHeight="1">
      <c r="B436" s="13"/>
      <c r="C436" s="13"/>
      <c r="D436" s="13"/>
      <c r="E436" s="13"/>
      <c r="F436" s="13"/>
    </row>
    <row r="437" ht="15.75" customHeight="1">
      <c r="B437" s="13"/>
      <c r="C437" s="13"/>
      <c r="D437" s="13"/>
      <c r="E437" s="13"/>
      <c r="F437" s="13"/>
    </row>
    <row r="438" ht="15.75" customHeight="1">
      <c r="B438" s="13"/>
      <c r="C438" s="13"/>
      <c r="D438" s="13"/>
      <c r="E438" s="13"/>
      <c r="F438" s="13"/>
    </row>
    <row r="439" ht="15.75" customHeight="1">
      <c r="B439" s="13"/>
      <c r="C439" s="13"/>
      <c r="D439" s="13"/>
      <c r="E439" s="13"/>
      <c r="F439" s="13"/>
    </row>
    <row r="440" ht="15.75" customHeight="1">
      <c r="B440" s="13"/>
      <c r="C440" s="13"/>
      <c r="D440" s="13"/>
      <c r="E440" s="13"/>
      <c r="F440" s="13"/>
    </row>
    <row r="441" ht="15.75" customHeight="1">
      <c r="B441" s="13"/>
      <c r="C441" s="13"/>
      <c r="D441" s="13"/>
      <c r="E441" s="13"/>
      <c r="F441" s="13"/>
    </row>
    <row r="442" ht="15.75" customHeight="1">
      <c r="B442" s="13"/>
      <c r="C442" s="13"/>
      <c r="D442" s="13"/>
      <c r="E442" s="13"/>
      <c r="F442" s="13"/>
    </row>
    <row r="443" ht="15.75" customHeight="1">
      <c r="B443" s="13"/>
      <c r="C443" s="13"/>
      <c r="D443" s="13"/>
      <c r="E443" s="13"/>
      <c r="F443" s="13"/>
    </row>
    <row r="444" ht="15.75" customHeight="1">
      <c r="B444" s="13"/>
      <c r="C444" s="13"/>
      <c r="D444" s="13"/>
      <c r="E444" s="13"/>
      <c r="F444" s="13"/>
    </row>
    <row r="445" ht="15.75" customHeight="1">
      <c r="B445" s="13"/>
      <c r="C445" s="13"/>
      <c r="D445" s="13"/>
      <c r="E445" s="13"/>
      <c r="F445" s="13"/>
    </row>
    <row r="446" ht="15.75" customHeight="1">
      <c r="B446" s="13"/>
      <c r="C446" s="13"/>
      <c r="D446" s="13"/>
      <c r="E446" s="13"/>
      <c r="F446" s="13"/>
    </row>
    <row r="447" ht="15.75" customHeight="1">
      <c r="B447" s="13"/>
      <c r="C447" s="13"/>
      <c r="D447" s="13"/>
      <c r="E447" s="13"/>
      <c r="F447" s="13"/>
    </row>
    <row r="448" ht="15.75" customHeight="1">
      <c r="B448" s="13"/>
      <c r="C448" s="13"/>
      <c r="D448" s="13"/>
      <c r="E448" s="13"/>
      <c r="F448" s="13"/>
    </row>
    <row r="449" ht="15.75" customHeight="1">
      <c r="B449" s="13"/>
      <c r="C449" s="13"/>
      <c r="D449" s="13"/>
      <c r="E449" s="13"/>
      <c r="F449" s="13"/>
    </row>
    <row r="450" ht="15.75" customHeight="1">
      <c r="B450" s="13"/>
      <c r="C450" s="13"/>
      <c r="D450" s="13"/>
      <c r="E450" s="13"/>
      <c r="F450" s="13"/>
    </row>
    <row r="451" ht="15.75" customHeight="1">
      <c r="B451" s="13"/>
      <c r="C451" s="13"/>
      <c r="D451" s="13"/>
      <c r="E451" s="13"/>
      <c r="F451" s="13"/>
    </row>
    <row r="452" ht="15.75" customHeight="1">
      <c r="B452" s="13"/>
      <c r="C452" s="13"/>
      <c r="D452" s="13"/>
      <c r="E452" s="13"/>
      <c r="F452" s="13"/>
    </row>
    <row r="453" ht="15.75" customHeight="1">
      <c r="B453" s="13"/>
      <c r="C453" s="13"/>
      <c r="D453" s="13"/>
      <c r="E453" s="13"/>
      <c r="F453" s="13"/>
    </row>
    <row r="454" ht="15.75" customHeight="1">
      <c r="B454" s="13"/>
      <c r="C454" s="13"/>
      <c r="D454" s="13"/>
      <c r="E454" s="13"/>
      <c r="F454" s="13"/>
    </row>
    <row r="455" ht="15.75" customHeight="1">
      <c r="B455" s="13"/>
      <c r="C455" s="13"/>
      <c r="D455" s="13"/>
      <c r="E455" s="13"/>
      <c r="F455" s="13"/>
    </row>
    <row r="456" ht="15.75" customHeight="1">
      <c r="B456" s="13"/>
      <c r="C456" s="13"/>
      <c r="D456" s="13"/>
      <c r="E456" s="13"/>
      <c r="F456" s="13"/>
    </row>
    <row r="457" ht="15.75" customHeight="1">
      <c r="B457" s="13"/>
      <c r="C457" s="13"/>
      <c r="D457" s="13"/>
      <c r="E457" s="13"/>
      <c r="F457" s="13"/>
    </row>
    <row r="458" ht="15.75" customHeight="1">
      <c r="B458" s="13"/>
      <c r="C458" s="13"/>
      <c r="D458" s="13"/>
      <c r="E458" s="13"/>
      <c r="F458" s="13"/>
    </row>
    <row r="459" ht="15.75" customHeight="1">
      <c r="B459" s="13"/>
      <c r="C459" s="13"/>
      <c r="D459" s="13"/>
      <c r="E459" s="13"/>
      <c r="F459" s="13"/>
    </row>
    <row r="460" ht="15.75" customHeight="1">
      <c r="B460" s="13"/>
      <c r="C460" s="13"/>
      <c r="D460" s="13"/>
      <c r="E460" s="13"/>
      <c r="F460" s="13"/>
    </row>
    <row r="461" ht="15.75" customHeight="1">
      <c r="B461" s="13"/>
      <c r="C461" s="13"/>
      <c r="D461" s="13"/>
      <c r="E461" s="13"/>
      <c r="F461" s="13"/>
    </row>
    <row r="462" ht="15.75" customHeight="1">
      <c r="B462" s="13"/>
      <c r="C462" s="13"/>
      <c r="D462" s="13"/>
      <c r="E462" s="13"/>
      <c r="F462" s="13"/>
    </row>
    <row r="463" ht="15.75" customHeight="1">
      <c r="B463" s="13"/>
      <c r="C463" s="13"/>
      <c r="D463" s="13"/>
      <c r="E463" s="13"/>
      <c r="F463" s="13"/>
    </row>
    <row r="464" ht="15.75" customHeight="1">
      <c r="B464" s="13"/>
      <c r="C464" s="13"/>
      <c r="D464" s="13"/>
      <c r="E464" s="13"/>
      <c r="F464" s="13"/>
    </row>
    <row r="465" ht="15.75" customHeight="1">
      <c r="B465" s="13"/>
      <c r="C465" s="13"/>
      <c r="D465" s="13"/>
      <c r="E465" s="13"/>
      <c r="F465" s="13"/>
    </row>
    <row r="466" ht="15.75" customHeight="1">
      <c r="B466" s="13"/>
      <c r="C466" s="13"/>
      <c r="D466" s="13"/>
      <c r="E466" s="13"/>
      <c r="F466" s="13"/>
    </row>
    <row r="467" ht="15.75" customHeight="1">
      <c r="B467" s="13"/>
      <c r="C467" s="13"/>
      <c r="D467" s="13"/>
      <c r="E467" s="13"/>
      <c r="F467" s="13"/>
    </row>
    <row r="468" ht="15.75" customHeight="1">
      <c r="B468" s="13"/>
      <c r="C468" s="13"/>
      <c r="D468" s="13"/>
      <c r="E468" s="13"/>
      <c r="F468" s="13"/>
    </row>
    <row r="469" ht="15.75" customHeight="1">
      <c r="B469" s="13"/>
      <c r="C469" s="13"/>
      <c r="D469" s="13"/>
      <c r="E469" s="13"/>
      <c r="F469" s="13"/>
    </row>
    <row r="470" ht="15.75" customHeight="1">
      <c r="B470" s="13"/>
      <c r="C470" s="13"/>
      <c r="D470" s="13"/>
      <c r="E470" s="13"/>
      <c r="F470" s="13"/>
    </row>
    <row r="471" ht="15.75" customHeight="1">
      <c r="B471" s="13"/>
      <c r="C471" s="13"/>
      <c r="D471" s="13"/>
      <c r="E471" s="13"/>
      <c r="F471" s="13"/>
    </row>
    <row r="472" ht="15.75" customHeight="1">
      <c r="B472" s="13"/>
      <c r="C472" s="13"/>
      <c r="D472" s="13"/>
      <c r="E472" s="13"/>
      <c r="F472" s="13"/>
    </row>
    <row r="473" ht="15.75" customHeight="1">
      <c r="B473" s="13"/>
      <c r="C473" s="13"/>
      <c r="D473" s="13"/>
      <c r="E473" s="13"/>
      <c r="F473" s="13"/>
    </row>
    <row r="474" ht="15.75" customHeight="1">
      <c r="B474" s="13"/>
      <c r="C474" s="13"/>
      <c r="D474" s="13"/>
      <c r="E474" s="13"/>
      <c r="F474" s="13"/>
    </row>
    <row r="475" ht="15.75" customHeight="1">
      <c r="B475" s="13"/>
      <c r="C475" s="13"/>
      <c r="D475" s="13"/>
      <c r="E475" s="13"/>
      <c r="F475" s="13"/>
    </row>
    <row r="476" ht="15.75" customHeight="1">
      <c r="B476" s="13"/>
      <c r="C476" s="13"/>
      <c r="D476" s="13"/>
      <c r="E476" s="13"/>
      <c r="F476" s="13"/>
    </row>
    <row r="477" ht="15.75" customHeight="1">
      <c r="B477" s="13"/>
      <c r="C477" s="13"/>
      <c r="D477" s="13"/>
      <c r="E477" s="13"/>
      <c r="F477" s="13"/>
    </row>
    <row r="478" ht="15.75" customHeight="1">
      <c r="B478" s="13"/>
      <c r="C478" s="13"/>
      <c r="D478" s="13"/>
      <c r="E478" s="13"/>
      <c r="F478" s="13"/>
    </row>
    <row r="479" ht="15.75" customHeight="1">
      <c r="B479" s="13"/>
      <c r="C479" s="13"/>
      <c r="D479" s="13"/>
      <c r="E479" s="13"/>
      <c r="F479" s="13"/>
    </row>
    <row r="480" ht="15.75" customHeight="1">
      <c r="B480" s="13"/>
      <c r="C480" s="13"/>
      <c r="D480" s="13"/>
      <c r="E480" s="13"/>
      <c r="F480" s="13"/>
    </row>
    <row r="481" ht="15.75" customHeight="1">
      <c r="B481" s="13"/>
      <c r="C481" s="13"/>
      <c r="D481" s="13"/>
      <c r="E481" s="13"/>
      <c r="F481" s="13"/>
    </row>
    <row r="482" ht="15.75" customHeight="1">
      <c r="B482" s="13"/>
      <c r="C482" s="13"/>
      <c r="D482" s="13"/>
      <c r="E482" s="13"/>
      <c r="F482" s="13"/>
    </row>
    <row r="483" ht="15.75" customHeight="1">
      <c r="B483" s="13"/>
      <c r="C483" s="13"/>
      <c r="D483" s="13"/>
      <c r="E483" s="13"/>
      <c r="F483" s="13"/>
    </row>
    <row r="484" ht="15.75" customHeight="1">
      <c r="B484" s="13"/>
      <c r="C484" s="13"/>
      <c r="D484" s="13"/>
      <c r="E484" s="13"/>
      <c r="F484" s="13"/>
    </row>
    <row r="485" ht="15.75" customHeight="1">
      <c r="B485" s="13"/>
      <c r="C485" s="13"/>
      <c r="D485" s="13"/>
      <c r="E485" s="13"/>
      <c r="F485" s="13"/>
    </row>
    <row r="486" ht="15.75" customHeight="1">
      <c r="B486" s="13"/>
      <c r="C486" s="13"/>
      <c r="D486" s="13"/>
      <c r="E486" s="13"/>
      <c r="F486" s="13"/>
    </row>
    <row r="487" ht="15.75" customHeight="1">
      <c r="B487" s="13"/>
      <c r="C487" s="13"/>
      <c r="D487" s="13"/>
      <c r="E487" s="13"/>
      <c r="F487" s="13"/>
    </row>
    <row r="488" ht="15.75" customHeight="1">
      <c r="B488" s="13"/>
      <c r="C488" s="13"/>
      <c r="D488" s="13"/>
      <c r="E488" s="13"/>
      <c r="F488" s="13"/>
    </row>
    <row r="489" ht="15.75" customHeight="1">
      <c r="B489" s="13"/>
      <c r="C489" s="13"/>
      <c r="D489" s="13"/>
      <c r="E489" s="13"/>
      <c r="F489" s="13"/>
    </row>
    <row r="490" ht="15.75" customHeight="1">
      <c r="B490" s="13"/>
      <c r="C490" s="13"/>
      <c r="D490" s="13"/>
      <c r="E490" s="13"/>
      <c r="F490" s="13"/>
    </row>
    <row r="491" ht="15.75" customHeight="1">
      <c r="B491" s="13"/>
      <c r="C491" s="13"/>
      <c r="D491" s="13"/>
      <c r="E491" s="13"/>
      <c r="F491" s="13"/>
    </row>
    <row r="492" ht="15.75" customHeight="1">
      <c r="B492" s="13"/>
      <c r="C492" s="13"/>
      <c r="D492" s="13"/>
      <c r="E492" s="13"/>
      <c r="F492" s="13"/>
    </row>
    <row r="493" ht="15.75" customHeight="1">
      <c r="B493" s="13"/>
      <c r="C493" s="13"/>
      <c r="D493" s="13"/>
      <c r="E493" s="13"/>
      <c r="F493" s="13"/>
    </row>
    <row r="494" ht="15.75" customHeight="1">
      <c r="B494" s="13"/>
      <c r="C494" s="13"/>
      <c r="D494" s="13"/>
      <c r="E494" s="13"/>
      <c r="F494" s="13"/>
    </row>
    <row r="495" ht="15.75" customHeight="1">
      <c r="B495" s="13"/>
      <c r="C495" s="13"/>
      <c r="D495" s="13"/>
      <c r="E495" s="13"/>
      <c r="F495" s="13"/>
    </row>
    <row r="496" ht="15.75" customHeight="1">
      <c r="B496" s="13"/>
      <c r="C496" s="13"/>
      <c r="D496" s="13"/>
      <c r="E496" s="13"/>
      <c r="F496" s="13"/>
    </row>
    <row r="497" ht="15.75" customHeight="1">
      <c r="B497" s="13"/>
      <c r="C497" s="13"/>
      <c r="D497" s="13"/>
      <c r="E497" s="13"/>
      <c r="F497" s="13"/>
    </row>
    <row r="498" ht="15.75" customHeight="1">
      <c r="B498" s="13"/>
      <c r="C498" s="13"/>
      <c r="D498" s="13"/>
      <c r="E498" s="13"/>
      <c r="F498" s="13"/>
    </row>
    <row r="499" ht="15.75" customHeight="1">
      <c r="B499" s="13"/>
      <c r="C499" s="13"/>
      <c r="D499" s="13"/>
      <c r="E499" s="13"/>
      <c r="F499" s="13"/>
    </row>
    <row r="500" ht="15.75" customHeight="1">
      <c r="B500" s="13"/>
      <c r="C500" s="13"/>
      <c r="D500" s="13"/>
      <c r="E500" s="13"/>
      <c r="F500" s="13"/>
    </row>
    <row r="501" ht="15.75" customHeight="1">
      <c r="B501" s="13"/>
      <c r="C501" s="13"/>
      <c r="D501" s="13"/>
      <c r="E501" s="13"/>
      <c r="F501" s="13"/>
    </row>
    <row r="502" ht="15.75" customHeight="1">
      <c r="B502" s="13"/>
      <c r="C502" s="13"/>
      <c r="D502" s="13"/>
      <c r="E502" s="13"/>
      <c r="F502" s="13"/>
    </row>
    <row r="503" ht="15.75" customHeight="1">
      <c r="B503" s="13"/>
      <c r="C503" s="13"/>
      <c r="D503" s="13"/>
      <c r="E503" s="13"/>
      <c r="F503" s="13"/>
    </row>
    <row r="504" ht="15.75" customHeight="1">
      <c r="B504" s="13"/>
      <c r="C504" s="13"/>
      <c r="D504" s="13"/>
      <c r="E504" s="13"/>
      <c r="F504" s="13"/>
    </row>
    <row r="505" ht="15.75" customHeight="1">
      <c r="B505" s="13"/>
      <c r="C505" s="13"/>
      <c r="D505" s="13"/>
      <c r="E505" s="13"/>
      <c r="F505" s="13"/>
    </row>
    <row r="506" ht="15.75" customHeight="1">
      <c r="B506" s="13"/>
      <c r="C506" s="13"/>
      <c r="D506" s="13"/>
      <c r="E506" s="13"/>
      <c r="F506" s="13"/>
    </row>
    <row r="507" ht="15.75" customHeight="1">
      <c r="B507" s="13"/>
      <c r="C507" s="13"/>
      <c r="D507" s="13"/>
      <c r="E507" s="13"/>
      <c r="F507" s="13"/>
    </row>
    <row r="508" ht="15.75" customHeight="1">
      <c r="B508" s="13"/>
      <c r="C508" s="13"/>
      <c r="D508" s="13"/>
      <c r="E508" s="13"/>
      <c r="F508" s="13"/>
    </row>
    <row r="509" ht="15.75" customHeight="1">
      <c r="B509" s="13"/>
      <c r="C509" s="13"/>
      <c r="D509" s="13"/>
      <c r="E509" s="13"/>
      <c r="F509" s="13"/>
    </row>
    <row r="510" ht="15.75" customHeight="1">
      <c r="B510" s="13"/>
      <c r="C510" s="13"/>
      <c r="D510" s="13"/>
      <c r="E510" s="13"/>
      <c r="F510" s="13"/>
    </row>
    <row r="511" ht="15.75" customHeight="1">
      <c r="B511" s="13"/>
      <c r="C511" s="13"/>
      <c r="D511" s="13"/>
      <c r="E511" s="13"/>
      <c r="F511" s="13"/>
    </row>
    <row r="512" ht="15.75" customHeight="1">
      <c r="B512" s="13"/>
      <c r="C512" s="13"/>
      <c r="D512" s="13"/>
      <c r="E512" s="13"/>
      <c r="F512" s="13"/>
    </row>
    <row r="513" ht="15.75" customHeight="1">
      <c r="B513" s="13"/>
      <c r="C513" s="13"/>
      <c r="D513" s="13"/>
      <c r="E513" s="13"/>
      <c r="F513" s="13"/>
    </row>
    <row r="514" ht="15.75" customHeight="1">
      <c r="B514" s="13"/>
      <c r="C514" s="13"/>
      <c r="D514" s="13"/>
      <c r="E514" s="13"/>
      <c r="F514" s="13"/>
    </row>
    <row r="515" ht="15.75" customHeight="1">
      <c r="B515" s="13"/>
      <c r="C515" s="13"/>
      <c r="D515" s="13"/>
      <c r="E515" s="13"/>
      <c r="F515" s="13"/>
    </row>
    <row r="516" ht="15.75" customHeight="1">
      <c r="B516" s="13"/>
      <c r="C516" s="13"/>
      <c r="D516" s="13"/>
      <c r="E516" s="13"/>
      <c r="F516" s="13"/>
    </row>
    <row r="517" ht="15.75" customHeight="1">
      <c r="B517" s="13"/>
      <c r="C517" s="13"/>
      <c r="D517" s="13"/>
      <c r="E517" s="13"/>
      <c r="F517" s="13"/>
    </row>
    <row r="518" ht="15.75" customHeight="1">
      <c r="B518" s="13"/>
      <c r="C518" s="13"/>
      <c r="D518" s="13"/>
      <c r="E518" s="13"/>
      <c r="F518" s="13"/>
    </row>
    <row r="519" ht="15.75" customHeight="1">
      <c r="B519" s="13"/>
      <c r="C519" s="13"/>
      <c r="D519" s="13"/>
      <c r="E519" s="13"/>
      <c r="F519" s="13"/>
    </row>
    <row r="520" ht="15.75" customHeight="1">
      <c r="B520" s="13"/>
      <c r="C520" s="13"/>
      <c r="D520" s="13"/>
      <c r="E520" s="13"/>
      <c r="F520" s="13"/>
    </row>
    <row r="521" ht="15.75" customHeight="1">
      <c r="B521" s="13"/>
      <c r="C521" s="13"/>
      <c r="D521" s="13"/>
      <c r="E521" s="13"/>
      <c r="F521" s="13"/>
    </row>
    <row r="522" ht="15.75" customHeight="1">
      <c r="B522" s="13"/>
      <c r="C522" s="13"/>
      <c r="D522" s="13"/>
      <c r="E522" s="13"/>
      <c r="F522" s="13"/>
    </row>
    <row r="523" ht="15.75" customHeight="1">
      <c r="B523" s="13"/>
      <c r="C523" s="13"/>
      <c r="D523" s="13"/>
      <c r="E523" s="13"/>
      <c r="F523" s="13"/>
    </row>
    <row r="524" ht="15.75" customHeight="1">
      <c r="B524" s="13"/>
      <c r="C524" s="13"/>
      <c r="D524" s="13"/>
      <c r="E524" s="13"/>
      <c r="F524" s="13"/>
    </row>
    <row r="525" ht="15.75" customHeight="1">
      <c r="B525" s="13"/>
      <c r="C525" s="13"/>
      <c r="D525" s="13"/>
      <c r="E525" s="13"/>
      <c r="F525" s="13"/>
    </row>
    <row r="526" ht="15.75" customHeight="1">
      <c r="B526" s="13"/>
      <c r="C526" s="13"/>
      <c r="D526" s="13"/>
      <c r="E526" s="13"/>
      <c r="F526" s="13"/>
    </row>
    <row r="527" ht="15.75" customHeight="1">
      <c r="B527" s="13"/>
      <c r="C527" s="13"/>
      <c r="D527" s="13"/>
      <c r="E527" s="13"/>
      <c r="F527" s="13"/>
    </row>
    <row r="528" ht="15.75" customHeight="1">
      <c r="B528" s="13"/>
      <c r="C528" s="13"/>
      <c r="D528" s="13"/>
      <c r="E528" s="13"/>
      <c r="F528" s="13"/>
    </row>
    <row r="529" ht="15.75" customHeight="1">
      <c r="B529" s="13"/>
      <c r="C529" s="13"/>
      <c r="D529" s="13"/>
      <c r="E529" s="13"/>
      <c r="F529" s="13"/>
    </row>
    <row r="530" ht="15.75" customHeight="1">
      <c r="B530" s="13"/>
      <c r="C530" s="13"/>
      <c r="D530" s="13"/>
      <c r="E530" s="13"/>
      <c r="F530" s="13"/>
    </row>
    <row r="531" ht="15.75" customHeight="1">
      <c r="B531" s="13"/>
      <c r="C531" s="13"/>
      <c r="D531" s="13"/>
      <c r="E531" s="13"/>
      <c r="F531" s="13"/>
    </row>
    <row r="532" ht="15.75" customHeight="1">
      <c r="B532" s="13"/>
      <c r="C532" s="13"/>
      <c r="D532" s="13"/>
      <c r="E532" s="13"/>
      <c r="F532" s="13"/>
    </row>
    <row r="533" ht="15.75" customHeight="1">
      <c r="B533" s="13"/>
      <c r="C533" s="13"/>
      <c r="D533" s="13"/>
      <c r="E533" s="13"/>
      <c r="F533" s="13"/>
    </row>
    <row r="534" ht="15.75" customHeight="1">
      <c r="B534" s="13"/>
      <c r="C534" s="13"/>
      <c r="D534" s="13"/>
      <c r="E534" s="13"/>
      <c r="F534" s="13"/>
    </row>
    <row r="535" ht="15.75" customHeight="1">
      <c r="B535" s="13"/>
      <c r="C535" s="13"/>
      <c r="D535" s="13"/>
      <c r="E535" s="13"/>
      <c r="F535" s="13"/>
    </row>
    <row r="536" ht="15.75" customHeight="1">
      <c r="B536" s="13"/>
      <c r="C536" s="13"/>
      <c r="D536" s="13"/>
      <c r="E536" s="13"/>
      <c r="F536" s="13"/>
    </row>
    <row r="537" ht="15.75" customHeight="1">
      <c r="B537" s="13"/>
      <c r="C537" s="13"/>
      <c r="D537" s="13"/>
      <c r="E537" s="13"/>
      <c r="F537" s="13"/>
    </row>
    <row r="538" ht="15.75" customHeight="1">
      <c r="B538" s="13"/>
      <c r="C538" s="13"/>
      <c r="D538" s="13"/>
      <c r="E538" s="13"/>
      <c r="F538" s="13"/>
    </row>
    <row r="539" ht="15.75" customHeight="1">
      <c r="B539" s="13"/>
      <c r="C539" s="13"/>
      <c r="D539" s="13"/>
      <c r="E539" s="13"/>
      <c r="F539" s="13"/>
    </row>
    <row r="540" ht="15.75" customHeight="1">
      <c r="B540" s="13"/>
      <c r="C540" s="13"/>
      <c r="D540" s="13"/>
      <c r="E540" s="13"/>
      <c r="F540" s="13"/>
    </row>
    <row r="541" ht="15.75" customHeight="1">
      <c r="B541" s="13"/>
      <c r="C541" s="13"/>
      <c r="D541" s="13"/>
      <c r="E541" s="13"/>
      <c r="F541" s="13"/>
    </row>
    <row r="542" ht="15.75" customHeight="1">
      <c r="B542" s="13"/>
      <c r="C542" s="13"/>
      <c r="D542" s="13"/>
      <c r="E542" s="13"/>
      <c r="F542" s="13"/>
    </row>
    <row r="543" ht="15.75" customHeight="1">
      <c r="B543" s="13"/>
      <c r="C543" s="13"/>
      <c r="D543" s="13"/>
      <c r="E543" s="13"/>
      <c r="F543" s="13"/>
    </row>
    <row r="544" ht="15.75" customHeight="1">
      <c r="B544" s="13"/>
      <c r="C544" s="13"/>
      <c r="D544" s="13"/>
      <c r="E544" s="13"/>
      <c r="F544" s="13"/>
    </row>
    <row r="545" ht="15.75" customHeight="1">
      <c r="B545" s="13"/>
      <c r="C545" s="13"/>
      <c r="D545" s="13"/>
      <c r="E545" s="13"/>
      <c r="F545" s="13"/>
    </row>
    <row r="546" ht="15.75" customHeight="1">
      <c r="B546" s="13"/>
      <c r="C546" s="13"/>
      <c r="D546" s="13"/>
      <c r="E546" s="13"/>
      <c r="F546" s="13"/>
    </row>
    <row r="547" ht="15.75" customHeight="1">
      <c r="B547" s="13"/>
      <c r="C547" s="13"/>
      <c r="D547" s="13"/>
      <c r="E547" s="13"/>
      <c r="F547" s="13"/>
    </row>
    <row r="548" ht="15.75" customHeight="1">
      <c r="B548" s="13"/>
      <c r="C548" s="13"/>
      <c r="D548" s="13"/>
      <c r="E548" s="13"/>
      <c r="F548" s="13"/>
    </row>
    <row r="549" ht="15.75" customHeight="1">
      <c r="B549" s="13"/>
      <c r="C549" s="13"/>
      <c r="D549" s="13"/>
      <c r="E549" s="13"/>
      <c r="F549" s="13"/>
    </row>
    <row r="550" ht="15.75" customHeight="1">
      <c r="B550" s="13"/>
      <c r="C550" s="13"/>
      <c r="D550" s="13"/>
      <c r="E550" s="13"/>
      <c r="F550" s="13"/>
    </row>
    <row r="551" ht="15.75" customHeight="1">
      <c r="B551" s="13"/>
      <c r="C551" s="13"/>
      <c r="D551" s="13"/>
      <c r="E551" s="13"/>
      <c r="F551" s="13"/>
    </row>
    <row r="552" ht="15.75" customHeight="1">
      <c r="B552" s="13"/>
      <c r="C552" s="13"/>
      <c r="D552" s="13"/>
      <c r="E552" s="13"/>
      <c r="F552" s="13"/>
    </row>
    <row r="553" ht="15.75" customHeight="1">
      <c r="B553" s="13"/>
      <c r="C553" s="13"/>
      <c r="D553" s="13"/>
      <c r="E553" s="13"/>
      <c r="F553" s="13"/>
    </row>
    <row r="554" ht="15.75" customHeight="1">
      <c r="B554" s="13"/>
      <c r="C554" s="13"/>
      <c r="D554" s="13"/>
      <c r="E554" s="13"/>
      <c r="F554" s="13"/>
    </row>
    <row r="555" ht="15.75" customHeight="1">
      <c r="B555" s="13"/>
      <c r="C555" s="13"/>
      <c r="D555" s="13"/>
      <c r="E555" s="13"/>
      <c r="F555" s="13"/>
    </row>
    <row r="556" ht="15.75" customHeight="1">
      <c r="B556" s="13"/>
      <c r="C556" s="13"/>
      <c r="D556" s="13"/>
      <c r="E556" s="13"/>
      <c r="F556" s="13"/>
    </row>
    <row r="557" ht="15.75" customHeight="1">
      <c r="B557" s="13"/>
      <c r="C557" s="13"/>
      <c r="D557" s="13"/>
      <c r="E557" s="13"/>
      <c r="F557" s="13"/>
    </row>
    <row r="558" ht="15.75" customHeight="1">
      <c r="B558" s="13"/>
      <c r="C558" s="13"/>
      <c r="D558" s="13"/>
      <c r="E558" s="13"/>
      <c r="F558" s="13"/>
    </row>
    <row r="559" ht="15.75" customHeight="1">
      <c r="B559" s="13"/>
      <c r="C559" s="13"/>
      <c r="D559" s="13"/>
      <c r="E559" s="13"/>
      <c r="F559" s="13"/>
    </row>
    <row r="560" ht="15.75" customHeight="1">
      <c r="B560" s="13"/>
      <c r="C560" s="13"/>
      <c r="D560" s="13"/>
      <c r="E560" s="13"/>
      <c r="F560" s="13"/>
    </row>
    <row r="561" ht="15.75" customHeight="1">
      <c r="B561" s="13"/>
      <c r="C561" s="13"/>
      <c r="D561" s="13"/>
      <c r="E561" s="13"/>
      <c r="F561" s="13"/>
    </row>
    <row r="562" ht="15.75" customHeight="1">
      <c r="B562" s="13"/>
      <c r="C562" s="13"/>
      <c r="D562" s="13"/>
      <c r="E562" s="13"/>
      <c r="F562" s="13"/>
    </row>
    <row r="563" ht="15.75" customHeight="1">
      <c r="B563" s="13"/>
      <c r="C563" s="13"/>
      <c r="D563" s="13"/>
      <c r="E563" s="13"/>
      <c r="F563" s="13"/>
    </row>
    <row r="564" ht="15.75" customHeight="1">
      <c r="B564" s="13"/>
      <c r="C564" s="13"/>
      <c r="D564" s="13"/>
      <c r="E564" s="13"/>
      <c r="F564" s="13"/>
    </row>
    <row r="565" ht="15.75" customHeight="1">
      <c r="B565" s="13"/>
      <c r="C565" s="13"/>
      <c r="D565" s="13"/>
      <c r="E565" s="13"/>
      <c r="F565" s="13"/>
    </row>
    <row r="566" ht="15.75" customHeight="1">
      <c r="B566" s="13"/>
      <c r="C566" s="13"/>
      <c r="D566" s="13"/>
      <c r="E566" s="13"/>
      <c r="F566" s="13"/>
    </row>
    <row r="567" ht="15.75" customHeight="1">
      <c r="B567" s="13"/>
      <c r="C567" s="13"/>
      <c r="D567" s="13"/>
      <c r="E567" s="13"/>
      <c r="F567" s="13"/>
    </row>
    <row r="568" ht="15.75" customHeight="1">
      <c r="B568" s="13"/>
      <c r="C568" s="13"/>
      <c r="D568" s="13"/>
      <c r="E568" s="13"/>
      <c r="F568" s="13"/>
    </row>
    <row r="569" ht="15.75" customHeight="1">
      <c r="B569" s="13"/>
      <c r="C569" s="13"/>
      <c r="D569" s="13"/>
      <c r="E569" s="13"/>
      <c r="F569" s="13"/>
    </row>
    <row r="570" ht="15.75" customHeight="1">
      <c r="B570" s="13"/>
      <c r="C570" s="13"/>
      <c r="D570" s="13"/>
      <c r="E570" s="13"/>
      <c r="F570" s="13"/>
    </row>
    <row r="571" ht="15.75" customHeight="1">
      <c r="B571" s="13"/>
      <c r="C571" s="13"/>
      <c r="D571" s="13"/>
      <c r="E571" s="13"/>
      <c r="F571" s="13"/>
    </row>
    <row r="572" ht="15.75" customHeight="1">
      <c r="B572" s="13"/>
      <c r="C572" s="13"/>
      <c r="D572" s="13"/>
      <c r="E572" s="13"/>
      <c r="F572" s="13"/>
    </row>
    <row r="573" ht="15.75" customHeight="1">
      <c r="B573" s="13"/>
      <c r="C573" s="13"/>
      <c r="D573" s="13"/>
      <c r="E573" s="13"/>
      <c r="F573" s="13"/>
    </row>
    <row r="574" ht="15.75" customHeight="1">
      <c r="B574" s="13"/>
      <c r="C574" s="13"/>
      <c r="D574" s="13"/>
      <c r="E574" s="13"/>
      <c r="F574" s="13"/>
    </row>
    <row r="575" ht="15.75" customHeight="1">
      <c r="B575" s="13"/>
      <c r="C575" s="13"/>
      <c r="D575" s="13"/>
      <c r="E575" s="13"/>
      <c r="F575" s="13"/>
    </row>
    <row r="576" ht="15.75" customHeight="1">
      <c r="B576" s="13"/>
      <c r="C576" s="13"/>
      <c r="D576" s="13"/>
      <c r="E576" s="13"/>
      <c r="F576" s="13"/>
    </row>
    <row r="577" ht="15.75" customHeight="1">
      <c r="B577" s="13"/>
      <c r="C577" s="13"/>
      <c r="D577" s="13"/>
      <c r="E577" s="13"/>
      <c r="F577" s="13"/>
    </row>
    <row r="578" ht="15.75" customHeight="1">
      <c r="B578" s="13"/>
      <c r="C578" s="13"/>
      <c r="D578" s="13"/>
      <c r="E578" s="13"/>
      <c r="F578" s="13"/>
    </row>
    <row r="579" ht="15.75" customHeight="1">
      <c r="B579" s="13"/>
      <c r="C579" s="13"/>
      <c r="D579" s="13"/>
      <c r="E579" s="13"/>
      <c r="F579" s="13"/>
    </row>
    <row r="580" ht="15.75" customHeight="1">
      <c r="B580" s="13"/>
      <c r="C580" s="13"/>
      <c r="D580" s="13"/>
      <c r="E580" s="13"/>
      <c r="F580" s="13"/>
    </row>
    <row r="581" ht="15.75" customHeight="1">
      <c r="B581" s="13"/>
      <c r="C581" s="13"/>
      <c r="D581" s="13"/>
      <c r="E581" s="13"/>
      <c r="F581" s="13"/>
    </row>
    <row r="582" ht="15.75" customHeight="1">
      <c r="B582" s="13"/>
      <c r="C582" s="13"/>
      <c r="D582" s="13"/>
      <c r="E582" s="13"/>
      <c r="F582" s="13"/>
    </row>
    <row r="583" ht="15.75" customHeight="1">
      <c r="B583" s="13"/>
      <c r="C583" s="13"/>
      <c r="D583" s="13"/>
      <c r="E583" s="13"/>
      <c r="F583" s="13"/>
    </row>
    <row r="584" ht="15.75" customHeight="1">
      <c r="B584" s="13"/>
      <c r="C584" s="13"/>
      <c r="D584" s="13"/>
      <c r="E584" s="13"/>
      <c r="F584" s="13"/>
    </row>
    <row r="585" ht="15.75" customHeight="1">
      <c r="B585" s="13"/>
      <c r="C585" s="13"/>
      <c r="D585" s="13"/>
      <c r="E585" s="13"/>
      <c r="F585" s="13"/>
    </row>
    <row r="586" ht="15.75" customHeight="1">
      <c r="B586" s="13"/>
      <c r="C586" s="13"/>
      <c r="D586" s="13"/>
      <c r="E586" s="13"/>
      <c r="F586" s="13"/>
    </row>
    <row r="587" ht="15.75" customHeight="1">
      <c r="B587" s="13"/>
      <c r="C587" s="13"/>
      <c r="D587" s="13"/>
      <c r="E587" s="13"/>
      <c r="F587" s="13"/>
    </row>
    <row r="588" ht="15.75" customHeight="1">
      <c r="B588" s="13"/>
      <c r="C588" s="13"/>
      <c r="D588" s="13"/>
      <c r="E588" s="13"/>
      <c r="F588" s="13"/>
    </row>
    <row r="589" ht="15.75" customHeight="1">
      <c r="B589" s="13"/>
      <c r="C589" s="13"/>
      <c r="D589" s="13"/>
      <c r="E589" s="13"/>
      <c r="F589" s="13"/>
    </row>
    <row r="590" ht="15.75" customHeight="1">
      <c r="B590" s="13"/>
      <c r="C590" s="13"/>
      <c r="D590" s="13"/>
      <c r="E590" s="13"/>
      <c r="F590" s="13"/>
    </row>
    <row r="591" ht="15.75" customHeight="1">
      <c r="B591" s="13"/>
      <c r="C591" s="13"/>
      <c r="D591" s="13"/>
      <c r="E591" s="13"/>
      <c r="F591" s="13"/>
    </row>
    <row r="592" ht="15.75" customHeight="1">
      <c r="B592" s="13"/>
      <c r="C592" s="13"/>
      <c r="D592" s="13"/>
      <c r="E592" s="13"/>
      <c r="F592" s="13"/>
    </row>
    <row r="593" ht="15.75" customHeight="1">
      <c r="B593" s="13"/>
      <c r="C593" s="13"/>
      <c r="D593" s="13"/>
      <c r="E593" s="13"/>
      <c r="F593" s="13"/>
    </row>
    <row r="594" ht="15.75" customHeight="1">
      <c r="B594" s="13"/>
      <c r="C594" s="13"/>
      <c r="D594" s="13"/>
      <c r="E594" s="13"/>
      <c r="F594" s="13"/>
    </row>
    <row r="595" ht="15.75" customHeight="1">
      <c r="B595" s="13"/>
      <c r="C595" s="13"/>
      <c r="D595" s="13"/>
      <c r="E595" s="13"/>
      <c r="F595" s="13"/>
    </row>
    <row r="596" ht="15.75" customHeight="1">
      <c r="B596" s="13"/>
      <c r="C596" s="13"/>
      <c r="D596" s="13"/>
      <c r="E596" s="13"/>
      <c r="F596" s="13"/>
    </row>
    <row r="597" ht="15.75" customHeight="1">
      <c r="B597" s="13"/>
      <c r="C597" s="13"/>
      <c r="D597" s="13"/>
      <c r="E597" s="13"/>
      <c r="F597" s="13"/>
    </row>
    <row r="598" ht="15.75" customHeight="1">
      <c r="B598" s="13"/>
      <c r="C598" s="13"/>
      <c r="D598" s="13"/>
      <c r="E598" s="13"/>
      <c r="F598" s="13"/>
    </row>
    <row r="599" ht="15.75" customHeight="1">
      <c r="B599" s="13"/>
      <c r="C599" s="13"/>
      <c r="D599" s="13"/>
      <c r="E599" s="13"/>
      <c r="F599" s="13"/>
    </row>
    <row r="600" ht="15.75" customHeight="1">
      <c r="B600" s="13"/>
      <c r="C600" s="13"/>
      <c r="D600" s="13"/>
      <c r="E600" s="13"/>
      <c r="F600" s="13"/>
    </row>
    <row r="601" ht="15.75" customHeight="1">
      <c r="B601" s="13"/>
      <c r="C601" s="13"/>
      <c r="D601" s="13"/>
      <c r="E601" s="13"/>
      <c r="F601" s="13"/>
    </row>
    <row r="602" ht="15.75" customHeight="1">
      <c r="B602" s="13"/>
      <c r="C602" s="13"/>
      <c r="D602" s="13"/>
      <c r="E602" s="13"/>
      <c r="F602" s="13"/>
    </row>
    <row r="603" ht="15.75" customHeight="1">
      <c r="B603" s="13"/>
      <c r="C603" s="13"/>
      <c r="D603" s="13"/>
      <c r="E603" s="13"/>
      <c r="F603" s="13"/>
    </row>
    <row r="604" ht="15.75" customHeight="1">
      <c r="B604" s="13"/>
      <c r="C604" s="13"/>
      <c r="D604" s="13"/>
      <c r="E604" s="13"/>
      <c r="F604" s="13"/>
    </row>
    <row r="605" ht="15.75" customHeight="1">
      <c r="B605" s="13"/>
      <c r="C605" s="13"/>
      <c r="D605" s="13"/>
      <c r="E605" s="13"/>
      <c r="F605" s="13"/>
    </row>
    <row r="606" ht="15.75" customHeight="1">
      <c r="B606" s="13"/>
      <c r="C606" s="13"/>
      <c r="D606" s="13"/>
      <c r="E606" s="13"/>
      <c r="F606" s="13"/>
    </row>
    <row r="607" ht="15.75" customHeight="1">
      <c r="B607" s="13"/>
      <c r="C607" s="13"/>
      <c r="D607" s="13"/>
      <c r="E607" s="13"/>
      <c r="F607" s="13"/>
    </row>
    <row r="608" ht="15.75" customHeight="1">
      <c r="B608" s="13"/>
      <c r="C608" s="13"/>
      <c r="D608" s="13"/>
      <c r="E608" s="13"/>
      <c r="F608" s="13"/>
    </row>
    <row r="609" ht="15.75" customHeight="1">
      <c r="B609" s="13"/>
      <c r="C609" s="13"/>
      <c r="D609" s="13"/>
      <c r="E609" s="13"/>
      <c r="F609" s="13"/>
    </row>
    <row r="610" ht="15.75" customHeight="1">
      <c r="B610" s="13"/>
      <c r="C610" s="13"/>
      <c r="D610" s="13"/>
      <c r="E610" s="13"/>
      <c r="F610" s="13"/>
    </row>
    <row r="611" ht="15.75" customHeight="1">
      <c r="B611" s="13"/>
      <c r="C611" s="13"/>
      <c r="D611" s="13"/>
      <c r="E611" s="13"/>
      <c r="F611" s="13"/>
    </row>
    <row r="612" ht="15.75" customHeight="1">
      <c r="B612" s="13"/>
      <c r="C612" s="13"/>
      <c r="D612" s="13"/>
      <c r="E612" s="13"/>
      <c r="F612" s="13"/>
    </row>
    <row r="613" ht="15.75" customHeight="1">
      <c r="B613" s="13"/>
      <c r="C613" s="13"/>
      <c r="D613" s="13"/>
      <c r="E613" s="13"/>
      <c r="F613" s="13"/>
    </row>
    <row r="614" ht="15.75" customHeight="1">
      <c r="B614" s="13"/>
      <c r="C614" s="13"/>
      <c r="D614" s="13"/>
      <c r="E614" s="13"/>
      <c r="F614" s="13"/>
    </row>
    <row r="615" ht="15.75" customHeight="1">
      <c r="B615" s="13"/>
      <c r="C615" s="13"/>
      <c r="D615" s="13"/>
      <c r="E615" s="13"/>
      <c r="F615" s="13"/>
    </row>
    <row r="616" ht="15.75" customHeight="1">
      <c r="B616" s="13"/>
      <c r="C616" s="13"/>
      <c r="D616" s="13"/>
      <c r="E616" s="13"/>
      <c r="F616" s="13"/>
    </row>
    <row r="617" ht="15.75" customHeight="1">
      <c r="B617" s="13"/>
      <c r="C617" s="13"/>
      <c r="D617" s="13"/>
      <c r="E617" s="13"/>
      <c r="F617" s="13"/>
    </row>
    <row r="618" ht="15.75" customHeight="1">
      <c r="B618" s="13"/>
      <c r="C618" s="13"/>
      <c r="D618" s="13"/>
      <c r="E618" s="13"/>
      <c r="F618" s="13"/>
    </row>
    <row r="619" ht="15.75" customHeight="1">
      <c r="B619" s="13"/>
      <c r="C619" s="13"/>
      <c r="D619" s="13"/>
      <c r="E619" s="13"/>
      <c r="F619" s="13"/>
    </row>
    <row r="620" ht="15.75" customHeight="1">
      <c r="B620" s="13"/>
      <c r="C620" s="13"/>
      <c r="D620" s="13"/>
      <c r="E620" s="13"/>
      <c r="F620" s="13"/>
    </row>
    <row r="621" ht="15.75" customHeight="1">
      <c r="B621" s="13"/>
      <c r="C621" s="13"/>
      <c r="D621" s="13"/>
      <c r="E621" s="13"/>
      <c r="F621" s="13"/>
    </row>
    <row r="622" ht="15.75" customHeight="1">
      <c r="B622" s="13"/>
      <c r="C622" s="13"/>
      <c r="D622" s="13"/>
      <c r="E622" s="13"/>
      <c r="F622" s="13"/>
    </row>
    <row r="623" ht="15.75" customHeight="1">
      <c r="B623" s="13"/>
      <c r="C623" s="13"/>
      <c r="D623" s="13"/>
      <c r="E623" s="13"/>
      <c r="F623" s="13"/>
    </row>
    <row r="624" ht="15.75" customHeight="1">
      <c r="B624" s="13"/>
      <c r="C624" s="13"/>
      <c r="D624" s="13"/>
      <c r="E624" s="13"/>
      <c r="F624" s="13"/>
    </row>
    <row r="625" ht="15.75" customHeight="1">
      <c r="B625" s="13"/>
      <c r="C625" s="13"/>
      <c r="D625" s="13"/>
      <c r="E625" s="13"/>
      <c r="F625" s="13"/>
    </row>
    <row r="626" ht="15.75" customHeight="1">
      <c r="B626" s="13"/>
      <c r="C626" s="13"/>
      <c r="D626" s="13"/>
      <c r="E626" s="13"/>
      <c r="F626" s="13"/>
    </row>
    <row r="627" ht="15.75" customHeight="1">
      <c r="B627" s="13"/>
      <c r="C627" s="13"/>
      <c r="D627" s="13"/>
      <c r="E627" s="13"/>
      <c r="F627" s="13"/>
    </row>
    <row r="628" ht="15.75" customHeight="1">
      <c r="B628" s="13"/>
      <c r="C628" s="13"/>
      <c r="D628" s="13"/>
      <c r="E628" s="13"/>
      <c r="F628" s="13"/>
    </row>
    <row r="629" ht="15.75" customHeight="1">
      <c r="B629" s="13"/>
      <c r="C629" s="13"/>
      <c r="D629" s="13"/>
      <c r="E629" s="13"/>
      <c r="F629" s="13"/>
    </row>
    <row r="630" ht="15.75" customHeight="1">
      <c r="B630" s="13"/>
      <c r="C630" s="13"/>
      <c r="D630" s="13"/>
      <c r="E630" s="13"/>
      <c r="F630" s="13"/>
    </row>
    <row r="631" ht="15.75" customHeight="1">
      <c r="B631" s="13"/>
      <c r="C631" s="13"/>
      <c r="D631" s="13"/>
      <c r="E631" s="13"/>
      <c r="F631" s="13"/>
    </row>
    <row r="632" ht="15.75" customHeight="1">
      <c r="B632" s="13"/>
      <c r="C632" s="13"/>
      <c r="D632" s="13"/>
      <c r="E632" s="13"/>
      <c r="F632" s="13"/>
    </row>
    <row r="633" ht="15.75" customHeight="1">
      <c r="B633" s="13"/>
      <c r="C633" s="13"/>
      <c r="D633" s="13"/>
      <c r="E633" s="13"/>
      <c r="F633" s="13"/>
    </row>
    <row r="634" ht="15.75" customHeight="1">
      <c r="B634" s="13"/>
      <c r="C634" s="13"/>
      <c r="D634" s="13"/>
      <c r="E634" s="13"/>
      <c r="F634" s="13"/>
    </row>
    <row r="635" ht="15.75" customHeight="1">
      <c r="B635" s="13"/>
      <c r="C635" s="13"/>
      <c r="D635" s="13"/>
      <c r="E635" s="13"/>
      <c r="F635" s="13"/>
    </row>
    <row r="636" ht="15.75" customHeight="1">
      <c r="B636" s="13"/>
      <c r="C636" s="13"/>
      <c r="D636" s="13"/>
      <c r="E636" s="13"/>
      <c r="F636" s="13"/>
    </row>
    <row r="637" ht="15.75" customHeight="1">
      <c r="B637" s="13"/>
      <c r="C637" s="13"/>
      <c r="D637" s="13"/>
      <c r="E637" s="13"/>
      <c r="F637" s="13"/>
    </row>
    <row r="638" ht="15.75" customHeight="1">
      <c r="B638" s="13"/>
      <c r="C638" s="13"/>
      <c r="D638" s="13"/>
      <c r="E638" s="13"/>
      <c r="F638" s="13"/>
    </row>
    <row r="639" ht="15.75" customHeight="1">
      <c r="B639" s="13"/>
      <c r="C639" s="13"/>
      <c r="D639" s="13"/>
      <c r="E639" s="13"/>
      <c r="F639" s="13"/>
    </row>
    <row r="640" ht="15.75" customHeight="1">
      <c r="B640" s="13"/>
      <c r="C640" s="13"/>
      <c r="D640" s="13"/>
      <c r="E640" s="13"/>
      <c r="F640" s="13"/>
    </row>
    <row r="641" ht="15.75" customHeight="1">
      <c r="B641" s="13"/>
      <c r="C641" s="13"/>
      <c r="D641" s="13"/>
      <c r="E641" s="13"/>
      <c r="F641" s="13"/>
    </row>
    <row r="642" ht="15.75" customHeight="1">
      <c r="B642" s="13"/>
      <c r="C642" s="13"/>
      <c r="D642" s="13"/>
      <c r="E642" s="13"/>
      <c r="F642" s="13"/>
    </row>
    <row r="643" ht="15.75" customHeight="1">
      <c r="B643" s="13"/>
      <c r="C643" s="13"/>
      <c r="D643" s="13"/>
      <c r="E643" s="13"/>
      <c r="F643" s="13"/>
    </row>
    <row r="644" ht="15.75" customHeight="1">
      <c r="B644" s="13"/>
      <c r="C644" s="13"/>
      <c r="D644" s="13"/>
      <c r="E644" s="13"/>
      <c r="F644" s="13"/>
    </row>
    <row r="645" ht="15.75" customHeight="1">
      <c r="B645" s="13"/>
      <c r="C645" s="13"/>
      <c r="D645" s="13"/>
      <c r="E645" s="13"/>
      <c r="F645" s="13"/>
    </row>
    <row r="646" ht="15.75" customHeight="1">
      <c r="B646" s="13"/>
      <c r="C646" s="13"/>
      <c r="D646" s="13"/>
      <c r="E646" s="13"/>
      <c r="F646" s="13"/>
    </row>
    <row r="647" ht="15.75" customHeight="1">
      <c r="B647" s="13"/>
      <c r="C647" s="13"/>
      <c r="D647" s="13"/>
      <c r="E647" s="13"/>
      <c r="F647" s="13"/>
    </row>
    <row r="648" ht="15.75" customHeight="1">
      <c r="B648" s="13"/>
      <c r="C648" s="13"/>
      <c r="D648" s="13"/>
      <c r="E648" s="13"/>
      <c r="F648" s="13"/>
    </row>
    <row r="649" ht="15.75" customHeight="1">
      <c r="B649" s="13"/>
      <c r="C649" s="13"/>
      <c r="D649" s="13"/>
      <c r="E649" s="13"/>
      <c r="F649" s="13"/>
    </row>
    <row r="650" ht="15.75" customHeight="1">
      <c r="B650" s="13"/>
      <c r="C650" s="13"/>
      <c r="D650" s="13"/>
      <c r="E650" s="13"/>
      <c r="F650" s="13"/>
    </row>
    <row r="651" ht="15.75" customHeight="1">
      <c r="B651" s="13"/>
      <c r="C651" s="13"/>
      <c r="D651" s="13"/>
      <c r="E651" s="13"/>
      <c r="F651" s="13"/>
    </row>
    <row r="652" ht="15.75" customHeight="1">
      <c r="B652" s="13"/>
      <c r="C652" s="13"/>
      <c r="D652" s="13"/>
      <c r="E652" s="13"/>
      <c r="F652" s="13"/>
    </row>
    <row r="653" ht="15.75" customHeight="1">
      <c r="B653" s="13"/>
      <c r="C653" s="13"/>
      <c r="D653" s="13"/>
      <c r="E653" s="13"/>
      <c r="F653" s="13"/>
    </row>
    <row r="654" ht="15.75" customHeight="1">
      <c r="B654" s="13"/>
      <c r="C654" s="13"/>
      <c r="D654" s="13"/>
      <c r="E654" s="13"/>
      <c r="F654" s="13"/>
    </row>
    <row r="655" ht="15.75" customHeight="1">
      <c r="B655" s="13"/>
      <c r="C655" s="13"/>
      <c r="D655" s="13"/>
      <c r="E655" s="13"/>
      <c r="F655" s="13"/>
    </row>
    <row r="656" ht="15.75" customHeight="1">
      <c r="B656" s="13"/>
      <c r="C656" s="13"/>
      <c r="D656" s="13"/>
      <c r="E656" s="13"/>
      <c r="F656" s="13"/>
    </row>
    <row r="657" ht="15.75" customHeight="1">
      <c r="B657" s="13"/>
      <c r="C657" s="13"/>
      <c r="D657" s="13"/>
      <c r="E657" s="13"/>
      <c r="F657" s="13"/>
    </row>
    <row r="658" ht="15.75" customHeight="1">
      <c r="B658" s="13"/>
      <c r="C658" s="13"/>
      <c r="D658" s="13"/>
      <c r="E658" s="13"/>
      <c r="F658" s="13"/>
    </row>
    <row r="659" ht="15.75" customHeight="1">
      <c r="B659" s="13"/>
      <c r="C659" s="13"/>
      <c r="D659" s="13"/>
      <c r="E659" s="13"/>
      <c r="F659" s="13"/>
    </row>
    <row r="660" ht="15.75" customHeight="1">
      <c r="B660" s="13"/>
      <c r="C660" s="13"/>
      <c r="D660" s="13"/>
      <c r="E660" s="13"/>
      <c r="F660" s="13"/>
    </row>
    <row r="661" ht="15.75" customHeight="1">
      <c r="B661" s="13"/>
      <c r="C661" s="13"/>
      <c r="D661" s="13"/>
      <c r="E661" s="13"/>
      <c r="F661" s="13"/>
    </row>
    <row r="662" ht="15.75" customHeight="1">
      <c r="B662" s="13"/>
      <c r="C662" s="13"/>
      <c r="D662" s="13"/>
      <c r="E662" s="13"/>
      <c r="F662" s="13"/>
    </row>
    <row r="663" ht="15.75" customHeight="1">
      <c r="B663" s="13"/>
      <c r="C663" s="13"/>
      <c r="D663" s="13"/>
      <c r="E663" s="13"/>
      <c r="F663" s="13"/>
    </row>
    <row r="664" ht="15.75" customHeight="1">
      <c r="B664" s="13"/>
      <c r="C664" s="13"/>
      <c r="D664" s="13"/>
      <c r="E664" s="13"/>
      <c r="F664" s="13"/>
    </row>
    <row r="665" ht="15.75" customHeight="1">
      <c r="B665" s="13"/>
      <c r="C665" s="13"/>
      <c r="D665" s="13"/>
      <c r="E665" s="13"/>
      <c r="F665" s="13"/>
    </row>
    <row r="666" ht="15.75" customHeight="1">
      <c r="B666" s="13"/>
      <c r="C666" s="13"/>
      <c r="D666" s="13"/>
      <c r="E666" s="13"/>
      <c r="F666" s="13"/>
    </row>
    <row r="667" ht="15.75" customHeight="1">
      <c r="B667" s="13"/>
      <c r="C667" s="13"/>
      <c r="D667" s="13"/>
      <c r="E667" s="13"/>
      <c r="F667" s="13"/>
    </row>
    <row r="668" ht="15.75" customHeight="1">
      <c r="B668" s="13"/>
      <c r="C668" s="13"/>
      <c r="D668" s="13"/>
      <c r="E668" s="13"/>
      <c r="F668" s="13"/>
    </row>
    <row r="669" ht="15.75" customHeight="1">
      <c r="B669" s="13"/>
      <c r="C669" s="13"/>
      <c r="D669" s="13"/>
      <c r="E669" s="13"/>
      <c r="F669" s="13"/>
    </row>
    <row r="670" ht="15.75" customHeight="1">
      <c r="B670" s="13"/>
      <c r="C670" s="13"/>
      <c r="D670" s="13"/>
      <c r="E670" s="13"/>
      <c r="F670" s="13"/>
    </row>
    <row r="671" ht="15.75" customHeight="1">
      <c r="B671" s="13"/>
      <c r="C671" s="13"/>
      <c r="D671" s="13"/>
      <c r="E671" s="13"/>
      <c r="F671" s="13"/>
    </row>
    <row r="672" ht="15.75" customHeight="1">
      <c r="B672" s="13"/>
      <c r="C672" s="13"/>
      <c r="D672" s="13"/>
      <c r="E672" s="13"/>
      <c r="F672" s="13"/>
    </row>
    <row r="673" ht="15.75" customHeight="1">
      <c r="B673" s="13"/>
      <c r="C673" s="13"/>
      <c r="D673" s="13"/>
      <c r="E673" s="13"/>
      <c r="F673" s="13"/>
    </row>
    <row r="674" ht="15.75" customHeight="1">
      <c r="B674" s="13"/>
      <c r="C674" s="13"/>
      <c r="D674" s="13"/>
      <c r="E674" s="13"/>
      <c r="F674" s="13"/>
    </row>
    <row r="675" ht="15.75" customHeight="1">
      <c r="B675" s="13"/>
      <c r="C675" s="13"/>
      <c r="D675" s="13"/>
      <c r="E675" s="13"/>
      <c r="F675" s="13"/>
    </row>
    <row r="676" ht="15.75" customHeight="1">
      <c r="B676" s="13"/>
      <c r="C676" s="13"/>
      <c r="D676" s="13"/>
      <c r="E676" s="13"/>
      <c r="F676" s="13"/>
    </row>
    <row r="677" ht="15.75" customHeight="1">
      <c r="B677" s="13"/>
      <c r="C677" s="13"/>
      <c r="D677" s="13"/>
      <c r="E677" s="13"/>
      <c r="F677" s="13"/>
    </row>
    <row r="678" ht="15.75" customHeight="1">
      <c r="B678" s="13"/>
      <c r="C678" s="13"/>
      <c r="D678" s="13"/>
      <c r="E678" s="13"/>
      <c r="F678" s="13"/>
    </row>
    <row r="679" ht="15.75" customHeight="1">
      <c r="B679" s="13"/>
      <c r="C679" s="13"/>
      <c r="D679" s="13"/>
      <c r="E679" s="13"/>
      <c r="F679" s="13"/>
    </row>
    <row r="680" ht="15.75" customHeight="1">
      <c r="B680" s="13"/>
      <c r="C680" s="13"/>
      <c r="D680" s="13"/>
      <c r="E680" s="13"/>
      <c r="F680" s="13"/>
    </row>
    <row r="681" ht="15.75" customHeight="1">
      <c r="B681" s="13"/>
      <c r="C681" s="13"/>
      <c r="D681" s="13"/>
      <c r="E681" s="13"/>
      <c r="F681" s="13"/>
    </row>
    <row r="682" ht="15.75" customHeight="1">
      <c r="B682" s="13"/>
      <c r="C682" s="13"/>
      <c r="D682" s="13"/>
      <c r="E682" s="13"/>
      <c r="F682" s="13"/>
    </row>
    <row r="683" ht="15.75" customHeight="1">
      <c r="B683" s="13"/>
      <c r="C683" s="13"/>
      <c r="D683" s="13"/>
      <c r="E683" s="13"/>
      <c r="F683" s="13"/>
    </row>
    <row r="684" ht="15.75" customHeight="1">
      <c r="B684" s="13"/>
      <c r="C684" s="13"/>
      <c r="D684" s="13"/>
      <c r="E684" s="13"/>
      <c r="F684" s="13"/>
    </row>
    <row r="685" ht="15.75" customHeight="1">
      <c r="B685" s="13"/>
      <c r="C685" s="13"/>
      <c r="D685" s="13"/>
      <c r="E685" s="13"/>
      <c r="F685" s="13"/>
    </row>
    <row r="686" ht="15.75" customHeight="1">
      <c r="B686" s="13"/>
      <c r="C686" s="13"/>
      <c r="D686" s="13"/>
      <c r="E686" s="13"/>
      <c r="F686" s="13"/>
    </row>
    <row r="687" ht="15.75" customHeight="1">
      <c r="B687" s="13"/>
      <c r="C687" s="13"/>
      <c r="D687" s="13"/>
      <c r="E687" s="13"/>
      <c r="F687" s="13"/>
    </row>
    <row r="688" ht="15.75" customHeight="1">
      <c r="B688" s="13"/>
      <c r="C688" s="13"/>
      <c r="D688" s="13"/>
      <c r="E688" s="13"/>
      <c r="F688" s="13"/>
    </row>
    <row r="689" ht="15.75" customHeight="1">
      <c r="B689" s="13"/>
      <c r="C689" s="13"/>
      <c r="D689" s="13"/>
      <c r="E689" s="13"/>
      <c r="F689" s="13"/>
    </row>
    <row r="690" ht="15.75" customHeight="1">
      <c r="B690" s="13"/>
      <c r="C690" s="13"/>
      <c r="D690" s="13"/>
      <c r="E690" s="13"/>
      <c r="F690" s="13"/>
    </row>
    <row r="691" ht="15.75" customHeight="1">
      <c r="B691" s="13"/>
      <c r="C691" s="13"/>
      <c r="D691" s="13"/>
      <c r="E691" s="13"/>
      <c r="F691" s="13"/>
    </row>
    <row r="692" ht="15.75" customHeight="1">
      <c r="B692" s="13"/>
      <c r="C692" s="13"/>
      <c r="D692" s="13"/>
      <c r="E692" s="13"/>
      <c r="F692" s="13"/>
    </row>
    <row r="693" ht="15.75" customHeight="1">
      <c r="B693" s="13"/>
      <c r="C693" s="13"/>
      <c r="D693" s="13"/>
      <c r="E693" s="13"/>
      <c r="F693" s="13"/>
    </row>
    <row r="694" ht="15.75" customHeight="1">
      <c r="B694" s="13"/>
      <c r="C694" s="13"/>
      <c r="D694" s="13"/>
      <c r="E694" s="13"/>
      <c r="F694" s="13"/>
    </row>
    <row r="695" ht="15.75" customHeight="1">
      <c r="B695" s="13"/>
      <c r="C695" s="13"/>
      <c r="D695" s="13"/>
      <c r="E695" s="13"/>
      <c r="F695" s="13"/>
    </row>
    <row r="696" ht="15.75" customHeight="1">
      <c r="B696" s="13"/>
      <c r="C696" s="13"/>
      <c r="D696" s="13"/>
      <c r="E696" s="13"/>
      <c r="F696" s="13"/>
    </row>
    <row r="697" ht="15.75" customHeight="1">
      <c r="B697" s="13"/>
      <c r="C697" s="13"/>
      <c r="D697" s="13"/>
      <c r="E697" s="13"/>
      <c r="F697" s="13"/>
    </row>
    <row r="698" ht="15.75" customHeight="1">
      <c r="B698" s="13"/>
      <c r="C698" s="13"/>
      <c r="D698" s="13"/>
      <c r="E698" s="13"/>
      <c r="F698" s="13"/>
    </row>
    <row r="699" ht="15.75" customHeight="1">
      <c r="B699" s="13"/>
      <c r="C699" s="13"/>
      <c r="D699" s="13"/>
      <c r="E699" s="13"/>
      <c r="F699" s="13"/>
    </row>
    <row r="700" ht="15.75" customHeight="1">
      <c r="B700" s="13"/>
      <c r="C700" s="13"/>
      <c r="D700" s="13"/>
      <c r="E700" s="13"/>
      <c r="F700" s="13"/>
    </row>
    <row r="701" ht="15.75" customHeight="1">
      <c r="B701" s="13"/>
      <c r="C701" s="13"/>
      <c r="D701" s="13"/>
      <c r="E701" s="13"/>
      <c r="F701" s="13"/>
    </row>
    <row r="702" ht="15.75" customHeight="1">
      <c r="B702" s="13"/>
      <c r="C702" s="13"/>
      <c r="D702" s="13"/>
      <c r="E702" s="13"/>
      <c r="F702" s="13"/>
    </row>
    <row r="703" ht="15.75" customHeight="1">
      <c r="B703" s="13"/>
      <c r="C703" s="13"/>
      <c r="D703" s="13"/>
      <c r="E703" s="13"/>
      <c r="F703" s="13"/>
    </row>
    <row r="704" ht="15.75" customHeight="1">
      <c r="B704" s="13"/>
      <c r="C704" s="13"/>
      <c r="D704" s="13"/>
      <c r="E704" s="13"/>
      <c r="F704" s="13"/>
    </row>
    <row r="705" ht="15.75" customHeight="1">
      <c r="B705" s="13"/>
      <c r="C705" s="13"/>
      <c r="D705" s="13"/>
      <c r="E705" s="13"/>
      <c r="F705" s="13"/>
    </row>
    <row r="706" ht="15.75" customHeight="1">
      <c r="B706" s="13"/>
      <c r="C706" s="13"/>
      <c r="D706" s="13"/>
      <c r="E706" s="13"/>
      <c r="F706" s="13"/>
    </row>
    <row r="707" ht="15.75" customHeight="1">
      <c r="B707" s="13"/>
      <c r="C707" s="13"/>
      <c r="D707" s="13"/>
      <c r="E707" s="13"/>
      <c r="F707" s="13"/>
    </row>
    <row r="708" ht="15.75" customHeight="1">
      <c r="B708" s="13"/>
      <c r="C708" s="13"/>
      <c r="D708" s="13"/>
      <c r="E708" s="13"/>
      <c r="F708" s="13"/>
    </row>
    <row r="709" ht="15.75" customHeight="1">
      <c r="B709" s="13"/>
      <c r="C709" s="13"/>
      <c r="D709" s="13"/>
      <c r="E709" s="13"/>
      <c r="F709" s="13"/>
    </row>
    <row r="710" ht="15.75" customHeight="1">
      <c r="B710" s="13"/>
      <c r="C710" s="13"/>
      <c r="D710" s="13"/>
      <c r="E710" s="13"/>
      <c r="F710" s="13"/>
    </row>
    <row r="711" ht="15.75" customHeight="1">
      <c r="B711" s="13"/>
      <c r="C711" s="13"/>
      <c r="D711" s="13"/>
      <c r="E711" s="13"/>
      <c r="F711" s="13"/>
    </row>
    <row r="712" ht="15.75" customHeight="1">
      <c r="B712" s="13"/>
      <c r="C712" s="13"/>
      <c r="D712" s="13"/>
      <c r="E712" s="13"/>
      <c r="F712" s="13"/>
    </row>
    <row r="713" ht="15.75" customHeight="1">
      <c r="B713" s="13"/>
      <c r="C713" s="13"/>
      <c r="D713" s="13"/>
      <c r="E713" s="13"/>
      <c r="F713" s="13"/>
    </row>
    <row r="714" ht="15.75" customHeight="1">
      <c r="B714" s="13"/>
      <c r="C714" s="13"/>
      <c r="D714" s="13"/>
      <c r="E714" s="13"/>
      <c r="F714" s="13"/>
    </row>
    <row r="715" ht="15.75" customHeight="1">
      <c r="B715" s="13"/>
      <c r="C715" s="13"/>
      <c r="D715" s="13"/>
      <c r="E715" s="13"/>
      <c r="F715" s="13"/>
    </row>
    <row r="716" ht="15.75" customHeight="1">
      <c r="B716" s="13"/>
      <c r="C716" s="13"/>
      <c r="D716" s="13"/>
      <c r="E716" s="13"/>
      <c r="F716" s="13"/>
    </row>
    <row r="717" ht="15.75" customHeight="1">
      <c r="B717" s="13"/>
      <c r="C717" s="13"/>
      <c r="D717" s="13"/>
      <c r="E717" s="13"/>
      <c r="F717" s="13"/>
    </row>
    <row r="718" ht="15.75" customHeight="1">
      <c r="B718" s="13"/>
      <c r="C718" s="13"/>
      <c r="D718" s="13"/>
      <c r="E718" s="13"/>
      <c r="F718" s="13"/>
    </row>
    <row r="719" ht="15.75" customHeight="1">
      <c r="B719" s="13"/>
      <c r="C719" s="13"/>
      <c r="D719" s="13"/>
      <c r="E719" s="13"/>
      <c r="F719" s="13"/>
    </row>
    <row r="720" ht="15.75" customHeight="1">
      <c r="B720" s="13"/>
      <c r="C720" s="13"/>
      <c r="D720" s="13"/>
      <c r="E720" s="13"/>
      <c r="F720" s="13"/>
    </row>
    <row r="721" ht="15.75" customHeight="1">
      <c r="B721" s="13"/>
      <c r="C721" s="13"/>
      <c r="D721" s="13"/>
      <c r="E721" s="13"/>
      <c r="F721" s="13"/>
    </row>
    <row r="722" ht="15.75" customHeight="1">
      <c r="B722" s="13"/>
      <c r="C722" s="13"/>
      <c r="D722" s="13"/>
      <c r="E722" s="13"/>
      <c r="F722" s="13"/>
    </row>
    <row r="723" ht="15.75" customHeight="1">
      <c r="B723" s="13"/>
      <c r="C723" s="13"/>
      <c r="D723" s="13"/>
      <c r="E723" s="13"/>
      <c r="F723" s="13"/>
    </row>
    <row r="724" ht="15.75" customHeight="1">
      <c r="B724" s="13"/>
      <c r="C724" s="13"/>
      <c r="D724" s="13"/>
      <c r="E724" s="13"/>
      <c r="F724" s="13"/>
    </row>
    <row r="725" ht="15.75" customHeight="1">
      <c r="B725" s="13"/>
      <c r="C725" s="13"/>
      <c r="D725" s="13"/>
      <c r="E725" s="13"/>
      <c r="F725" s="13"/>
    </row>
    <row r="726" ht="15.75" customHeight="1">
      <c r="B726" s="13"/>
      <c r="C726" s="13"/>
      <c r="D726" s="13"/>
      <c r="E726" s="13"/>
      <c r="F726" s="13"/>
    </row>
    <row r="727" ht="15.75" customHeight="1">
      <c r="B727" s="13"/>
      <c r="C727" s="13"/>
      <c r="D727" s="13"/>
      <c r="E727" s="13"/>
      <c r="F727" s="13"/>
    </row>
    <row r="728" ht="15.75" customHeight="1">
      <c r="B728" s="13"/>
      <c r="C728" s="13"/>
      <c r="D728" s="13"/>
      <c r="E728" s="13"/>
      <c r="F728" s="13"/>
    </row>
    <row r="729" ht="15.75" customHeight="1">
      <c r="B729" s="13"/>
      <c r="C729" s="13"/>
      <c r="D729" s="13"/>
      <c r="E729" s="13"/>
      <c r="F729" s="13"/>
    </row>
    <row r="730" ht="15.75" customHeight="1">
      <c r="B730" s="13"/>
      <c r="C730" s="13"/>
      <c r="D730" s="13"/>
      <c r="E730" s="13"/>
      <c r="F730" s="13"/>
    </row>
    <row r="731" ht="15.75" customHeight="1">
      <c r="B731" s="13"/>
      <c r="C731" s="13"/>
      <c r="D731" s="13"/>
      <c r="E731" s="13"/>
      <c r="F731" s="13"/>
    </row>
    <row r="732" ht="15.75" customHeight="1">
      <c r="B732" s="13"/>
      <c r="C732" s="13"/>
      <c r="D732" s="13"/>
      <c r="E732" s="13"/>
      <c r="F732" s="13"/>
    </row>
    <row r="733" ht="15.75" customHeight="1">
      <c r="B733" s="13"/>
      <c r="C733" s="13"/>
      <c r="D733" s="13"/>
      <c r="E733" s="13"/>
      <c r="F733" s="13"/>
    </row>
    <row r="734" ht="15.75" customHeight="1">
      <c r="B734" s="13"/>
      <c r="C734" s="13"/>
      <c r="D734" s="13"/>
      <c r="E734" s="13"/>
      <c r="F734" s="13"/>
    </row>
    <row r="735" ht="15.75" customHeight="1">
      <c r="B735" s="13"/>
      <c r="C735" s="13"/>
      <c r="D735" s="13"/>
      <c r="E735" s="13"/>
      <c r="F735" s="13"/>
    </row>
    <row r="736" ht="15.75" customHeight="1">
      <c r="B736" s="13"/>
      <c r="C736" s="13"/>
      <c r="D736" s="13"/>
      <c r="E736" s="13"/>
      <c r="F736" s="13"/>
    </row>
    <row r="737" ht="15.75" customHeight="1">
      <c r="B737" s="13"/>
      <c r="C737" s="13"/>
      <c r="D737" s="13"/>
      <c r="E737" s="13"/>
      <c r="F737" s="13"/>
    </row>
    <row r="738" ht="15.75" customHeight="1">
      <c r="B738" s="13"/>
      <c r="C738" s="13"/>
      <c r="D738" s="13"/>
      <c r="E738" s="13"/>
      <c r="F738" s="13"/>
    </row>
    <row r="739" ht="15.75" customHeight="1">
      <c r="B739" s="13"/>
      <c r="C739" s="13"/>
      <c r="D739" s="13"/>
      <c r="E739" s="13"/>
      <c r="F739" s="13"/>
    </row>
    <row r="740" ht="15.75" customHeight="1">
      <c r="B740" s="13"/>
      <c r="C740" s="13"/>
      <c r="D740" s="13"/>
      <c r="E740" s="13"/>
      <c r="F740" s="13"/>
    </row>
    <row r="741" ht="15.75" customHeight="1">
      <c r="B741" s="13"/>
      <c r="C741" s="13"/>
      <c r="D741" s="13"/>
      <c r="E741" s="13"/>
      <c r="F741" s="13"/>
    </row>
    <row r="742" ht="15.75" customHeight="1">
      <c r="B742" s="13"/>
      <c r="C742" s="13"/>
      <c r="D742" s="13"/>
      <c r="E742" s="13"/>
      <c r="F742" s="13"/>
    </row>
    <row r="743" ht="15.75" customHeight="1">
      <c r="B743" s="13"/>
      <c r="C743" s="13"/>
      <c r="D743" s="13"/>
      <c r="E743" s="13"/>
      <c r="F743" s="13"/>
    </row>
    <row r="744" ht="15.75" customHeight="1">
      <c r="B744" s="13"/>
      <c r="C744" s="13"/>
      <c r="D744" s="13"/>
      <c r="E744" s="13"/>
      <c r="F744" s="13"/>
    </row>
    <row r="745" ht="15.75" customHeight="1">
      <c r="B745" s="13"/>
      <c r="C745" s="13"/>
      <c r="D745" s="13"/>
      <c r="E745" s="13"/>
      <c r="F745" s="13"/>
    </row>
    <row r="746" ht="15.75" customHeight="1">
      <c r="B746" s="13"/>
      <c r="C746" s="13"/>
      <c r="D746" s="13"/>
      <c r="E746" s="13"/>
      <c r="F746" s="13"/>
    </row>
    <row r="747" ht="15.75" customHeight="1">
      <c r="B747" s="13"/>
      <c r="C747" s="13"/>
      <c r="D747" s="13"/>
      <c r="E747" s="13"/>
      <c r="F747" s="13"/>
    </row>
    <row r="748" ht="15.75" customHeight="1">
      <c r="B748" s="13"/>
      <c r="C748" s="13"/>
      <c r="D748" s="13"/>
      <c r="E748" s="13"/>
      <c r="F748" s="13"/>
    </row>
    <row r="749" ht="15.75" customHeight="1">
      <c r="B749" s="13"/>
      <c r="C749" s="13"/>
      <c r="D749" s="13"/>
      <c r="E749" s="13"/>
      <c r="F749" s="13"/>
    </row>
    <row r="750" ht="15.75" customHeight="1">
      <c r="B750" s="13"/>
      <c r="C750" s="13"/>
      <c r="D750" s="13"/>
      <c r="E750" s="13"/>
      <c r="F750" s="13"/>
    </row>
    <row r="751" ht="15.75" customHeight="1">
      <c r="B751" s="13"/>
      <c r="C751" s="13"/>
      <c r="D751" s="13"/>
      <c r="E751" s="13"/>
      <c r="F751" s="13"/>
    </row>
    <row r="752" ht="15.75" customHeight="1">
      <c r="B752" s="13"/>
      <c r="C752" s="13"/>
      <c r="D752" s="13"/>
      <c r="E752" s="13"/>
      <c r="F752" s="13"/>
    </row>
    <row r="753" ht="15.75" customHeight="1">
      <c r="B753" s="13"/>
      <c r="C753" s="13"/>
      <c r="D753" s="13"/>
      <c r="E753" s="13"/>
      <c r="F753" s="13"/>
    </row>
    <row r="754" ht="15.75" customHeight="1">
      <c r="B754" s="13"/>
      <c r="C754" s="13"/>
      <c r="D754" s="13"/>
      <c r="E754" s="13"/>
      <c r="F754" s="13"/>
    </row>
    <row r="755" ht="15.75" customHeight="1">
      <c r="B755" s="13"/>
      <c r="C755" s="13"/>
      <c r="D755" s="13"/>
      <c r="E755" s="13"/>
      <c r="F755" s="13"/>
    </row>
    <row r="756" ht="15.75" customHeight="1">
      <c r="B756" s="13"/>
      <c r="C756" s="13"/>
      <c r="D756" s="13"/>
      <c r="E756" s="13"/>
      <c r="F756" s="13"/>
    </row>
    <row r="757" ht="15.75" customHeight="1">
      <c r="B757" s="13"/>
      <c r="C757" s="13"/>
      <c r="D757" s="13"/>
      <c r="E757" s="13"/>
      <c r="F757" s="13"/>
    </row>
    <row r="758" ht="15.75" customHeight="1">
      <c r="B758" s="13"/>
      <c r="C758" s="13"/>
      <c r="D758" s="13"/>
      <c r="E758" s="13"/>
      <c r="F758" s="13"/>
    </row>
    <row r="759" ht="15.75" customHeight="1">
      <c r="B759" s="13"/>
      <c r="C759" s="13"/>
      <c r="D759" s="13"/>
      <c r="E759" s="13"/>
      <c r="F759" s="13"/>
    </row>
    <row r="760" ht="15.75" customHeight="1">
      <c r="B760" s="13"/>
      <c r="C760" s="13"/>
      <c r="D760" s="13"/>
      <c r="E760" s="13"/>
      <c r="F760" s="13"/>
    </row>
    <row r="761" ht="15.75" customHeight="1">
      <c r="B761" s="13"/>
      <c r="C761" s="13"/>
      <c r="D761" s="13"/>
      <c r="E761" s="13"/>
      <c r="F761" s="13"/>
    </row>
    <row r="762" ht="15.75" customHeight="1">
      <c r="B762" s="13"/>
      <c r="C762" s="13"/>
      <c r="D762" s="13"/>
      <c r="E762" s="13"/>
      <c r="F762" s="13"/>
    </row>
    <row r="763" ht="15.75" customHeight="1">
      <c r="B763" s="13"/>
      <c r="C763" s="13"/>
      <c r="D763" s="13"/>
      <c r="E763" s="13"/>
      <c r="F763" s="13"/>
    </row>
    <row r="764" ht="15.75" customHeight="1">
      <c r="B764" s="13"/>
      <c r="C764" s="13"/>
      <c r="D764" s="13"/>
      <c r="E764" s="13"/>
      <c r="F764" s="13"/>
    </row>
    <row r="765" ht="15.75" customHeight="1">
      <c r="B765" s="13"/>
      <c r="C765" s="13"/>
      <c r="D765" s="13"/>
      <c r="E765" s="13"/>
      <c r="F765" s="13"/>
    </row>
    <row r="766" ht="15.75" customHeight="1">
      <c r="B766" s="13"/>
      <c r="C766" s="13"/>
      <c r="D766" s="13"/>
      <c r="E766" s="13"/>
      <c r="F766" s="13"/>
    </row>
    <row r="767" ht="15.75" customHeight="1">
      <c r="B767" s="13"/>
      <c r="C767" s="13"/>
      <c r="D767" s="13"/>
      <c r="E767" s="13"/>
      <c r="F767" s="13"/>
    </row>
    <row r="768" ht="15.75" customHeight="1">
      <c r="B768" s="13"/>
      <c r="C768" s="13"/>
      <c r="D768" s="13"/>
      <c r="E768" s="13"/>
      <c r="F768" s="13"/>
    </row>
    <row r="769" ht="15.75" customHeight="1">
      <c r="B769" s="13"/>
      <c r="C769" s="13"/>
      <c r="D769" s="13"/>
      <c r="E769" s="13"/>
      <c r="F769" s="13"/>
    </row>
    <row r="770" ht="15.75" customHeight="1">
      <c r="B770" s="13"/>
      <c r="C770" s="13"/>
      <c r="D770" s="13"/>
      <c r="E770" s="13"/>
      <c r="F770" s="13"/>
    </row>
    <row r="771" ht="15.75" customHeight="1">
      <c r="B771" s="13"/>
      <c r="C771" s="13"/>
      <c r="D771" s="13"/>
      <c r="E771" s="13"/>
      <c r="F771" s="13"/>
    </row>
    <row r="772" ht="15.75" customHeight="1">
      <c r="B772" s="13"/>
      <c r="C772" s="13"/>
      <c r="D772" s="13"/>
      <c r="E772" s="13"/>
      <c r="F772" s="13"/>
    </row>
    <row r="773" ht="15.75" customHeight="1">
      <c r="B773" s="13"/>
      <c r="C773" s="13"/>
      <c r="D773" s="13"/>
      <c r="E773" s="13"/>
      <c r="F773" s="13"/>
    </row>
    <row r="774" ht="15.75" customHeight="1">
      <c r="B774" s="13"/>
      <c r="C774" s="13"/>
      <c r="D774" s="13"/>
      <c r="E774" s="13"/>
      <c r="F774" s="13"/>
    </row>
    <row r="775" ht="15.75" customHeight="1">
      <c r="B775" s="13"/>
      <c r="C775" s="13"/>
      <c r="D775" s="13"/>
      <c r="E775" s="13"/>
      <c r="F775" s="13"/>
    </row>
    <row r="776" ht="15.75" customHeight="1">
      <c r="B776" s="13"/>
      <c r="C776" s="13"/>
      <c r="D776" s="13"/>
      <c r="E776" s="13"/>
      <c r="F776" s="13"/>
    </row>
    <row r="777" ht="15.75" customHeight="1">
      <c r="B777" s="13"/>
      <c r="C777" s="13"/>
      <c r="D777" s="13"/>
      <c r="E777" s="13"/>
      <c r="F777" s="13"/>
    </row>
    <row r="778" ht="15.75" customHeight="1">
      <c r="B778" s="13"/>
      <c r="C778" s="13"/>
      <c r="D778" s="13"/>
      <c r="E778" s="13"/>
      <c r="F778" s="13"/>
    </row>
    <row r="779" ht="15.75" customHeight="1">
      <c r="B779" s="13"/>
      <c r="C779" s="13"/>
      <c r="D779" s="13"/>
      <c r="E779" s="13"/>
      <c r="F779" s="13"/>
    </row>
    <row r="780" ht="15.75" customHeight="1">
      <c r="B780" s="13"/>
      <c r="C780" s="13"/>
      <c r="D780" s="13"/>
      <c r="E780" s="13"/>
      <c r="F780" s="13"/>
    </row>
    <row r="781" ht="15.75" customHeight="1">
      <c r="B781" s="13"/>
      <c r="C781" s="13"/>
      <c r="D781" s="13"/>
      <c r="E781" s="13"/>
      <c r="F781" s="13"/>
    </row>
    <row r="782" ht="15.75" customHeight="1">
      <c r="B782" s="13"/>
      <c r="C782" s="13"/>
      <c r="D782" s="13"/>
      <c r="E782" s="13"/>
      <c r="F782" s="13"/>
    </row>
    <row r="783" ht="15.75" customHeight="1">
      <c r="B783" s="13"/>
      <c r="C783" s="13"/>
      <c r="D783" s="13"/>
      <c r="E783" s="13"/>
      <c r="F783" s="13"/>
    </row>
    <row r="784" ht="15.75" customHeight="1">
      <c r="B784" s="13"/>
      <c r="C784" s="13"/>
      <c r="D784" s="13"/>
      <c r="E784" s="13"/>
      <c r="F784" s="13"/>
    </row>
    <row r="785" ht="15.75" customHeight="1">
      <c r="B785" s="13"/>
      <c r="C785" s="13"/>
      <c r="D785" s="13"/>
      <c r="E785" s="13"/>
      <c r="F785" s="13"/>
    </row>
    <row r="786" ht="15.75" customHeight="1">
      <c r="B786" s="13"/>
      <c r="C786" s="13"/>
      <c r="D786" s="13"/>
      <c r="E786" s="13"/>
      <c r="F786" s="13"/>
    </row>
    <row r="787" ht="15.75" customHeight="1">
      <c r="B787" s="13"/>
      <c r="C787" s="13"/>
      <c r="D787" s="13"/>
      <c r="E787" s="13"/>
      <c r="F787" s="13"/>
    </row>
    <row r="788" ht="15.75" customHeight="1">
      <c r="B788" s="13"/>
      <c r="C788" s="13"/>
      <c r="D788" s="13"/>
      <c r="E788" s="13"/>
      <c r="F788" s="13"/>
    </row>
    <row r="789" ht="15.75" customHeight="1">
      <c r="B789" s="13"/>
      <c r="C789" s="13"/>
      <c r="D789" s="13"/>
      <c r="E789" s="13"/>
      <c r="F789" s="13"/>
    </row>
    <row r="790" ht="15.75" customHeight="1">
      <c r="B790" s="13"/>
      <c r="C790" s="13"/>
      <c r="D790" s="13"/>
      <c r="E790" s="13"/>
      <c r="F790" s="13"/>
    </row>
    <row r="791" ht="15.75" customHeight="1">
      <c r="B791" s="13"/>
      <c r="C791" s="13"/>
      <c r="D791" s="13"/>
      <c r="E791" s="13"/>
      <c r="F791" s="13"/>
    </row>
    <row r="792" ht="15.75" customHeight="1">
      <c r="B792" s="13"/>
      <c r="C792" s="13"/>
      <c r="D792" s="13"/>
      <c r="E792" s="13"/>
      <c r="F792" s="13"/>
    </row>
    <row r="793" ht="15.75" customHeight="1">
      <c r="B793" s="13"/>
      <c r="C793" s="13"/>
      <c r="D793" s="13"/>
      <c r="E793" s="13"/>
      <c r="F793" s="13"/>
    </row>
    <row r="794" ht="15.75" customHeight="1">
      <c r="B794" s="13"/>
      <c r="C794" s="13"/>
      <c r="D794" s="13"/>
      <c r="E794" s="13"/>
      <c r="F794" s="13"/>
    </row>
    <row r="795" ht="15.75" customHeight="1">
      <c r="B795" s="13"/>
      <c r="C795" s="13"/>
      <c r="D795" s="13"/>
      <c r="E795" s="13"/>
      <c r="F795" s="13"/>
    </row>
    <row r="796" ht="15.75" customHeight="1">
      <c r="B796" s="13"/>
      <c r="C796" s="13"/>
      <c r="D796" s="13"/>
      <c r="E796" s="13"/>
      <c r="F796" s="13"/>
    </row>
    <row r="797" ht="15.75" customHeight="1">
      <c r="B797" s="13"/>
      <c r="C797" s="13"/>
      <c r="D797" s="13"/>
      <c r="E797" s="13"/>
      <c r="F797" s="13"/>
    </row>
    <row r="798" ht="15.75" customHeight="1">
      <c r="B798" s="13"/>
      <c r="C798" s="13"/>
      <c r="D798" s="13"/>
      <c r="E798" s="13"/>
      <c r="F798" s="13"/>
    </row>
    <row r="799" ht="15.75" customHeight="1">
      <c r="B799" s="13"/>
      <c r="C799" s="13"/>
      <c r="D799" s="13"/>
      <c r="E799" s="13"/>
      <c r="F799" s="13"/>
    </row>
    <row r="800" ht="15.75" customHeight="1">
      <c r="B800" s="13"/>
      <c r="C800" s="13"/>
      <c r="D800" s="13"/>
      <c r="E800" s="13"/>
      <c r="F800" s="13"/>
    </row>
    <row r="801" ht="15.75" customHeight="1">
      <c r="B801" s="13"/>
      <c r="C801" s="13"/>
      <c r="D801" s="13"/>
      <c r="E801" s="13"/>
      <c r="F801" s="13"/>
    </row>
    <row r="802" ht="15.75" customHeight="1">
      <c r="B802" s="13"/>
      <c r="C802" s="13"/>
      <c r="D802" s="13"/>
      <c r="E802" s="13"/>
      <c r="F802" s="13"/>
    </row>
    <row r="803" ht="15.75" customHeight="1">
      <c r="B803" s="13"/>
      <c r="C803" s="13"/>
      <c r="D803" s="13"/>
      <c r="E803" s="13"/>
      <c r="F803" s="13"/>
    </row>
    <row r="804" ht="15.75" customHeight="1">
      <c r="B804" s="13"/>
      <c r="C804" s="13"/>
      <c r="D804" s="13"/>
      <c r="E804" s="13"/>
      <c r="F804" s="13"/>
    </row>
    <row r="805" ht="15.75" customHeight="1">
      <c r="B805" s="13"/>
      <c r="C805" s="13"/>
      <c r="D805" s="13"/>
      <c r="E805" s="13"/>
      <c r="F805" s="13"/>
    </row>
    <row r="806" ht="15.75" customHeight="1">
      <c r="B806" s="13"/>
      <c r="C806" s="13"/>
      <c r="D806" s="13"/>
      <c r="E806" s="13"/>
      <c r="F806" s="13"/>
    </row>
    <row r="807" ht="15.75" customHeight="1">
      <c r="B807" s="13"/>
      <c r="C807" s="13"/>
      <c r="D807" s="13"/>
      <c r="E807" s="13"/>
      <c r="F807" s="13"/>
    </row>
    <row r="808" ht="15.75" customHeight="1">
      <c r="B808" s="13"/>
      <c r="C808" s="13"/>
      <c r="D808" s="13"/>
      <c r="E808" s="13"/>
      <c r="F808" s="13"/>
    </row>
    <row r="809" ht="15.75" customHeight="1">
      <c r="B809" s="13"/>
      <c r="C809" s="13"/>
      <c r="D809" s="13"/>
      <c r="E809" s="13"/>
      <c r="F809" s="13"/>
    </row>
    <row r="810" ht="15.75" customHeight="1">
      <c r="B810" s="13"/>
      <c r="C810" s="13"/>
      <c r="D810" s="13"/>
      <c r="E810" s="13"/>
      <c r="F810" s="13"/>
    </row>
    <row r="811" ht="15.75" customHeight="1">
      <c r="B811" s="13"/>
      <c r="C811" s="13"/>
      <c r="D811" s="13"/>
      <c r="E811" s="13"/>
      <c r="F811" s="13"/>
    </row>
    <row r="812" ht="15.75" customHeight="1">
      <c r="B812" s="13"/>
      <c r="C812" s="13"/>
      <c r="D812" s="13"/>
      <c r="E812" s="13"/>
      <c r="F812" s="13"/>
    </row>
    <row r="813" ht="15.75" customHeight="1">
      <c r="B813" s="13"/>
      <c r="C813" s="13"/>
      <c r="D813" s="13"/>
      <c r="E813" s="13"/>
      <c r="F813" s="13"/>
    </row>
    <row r="814" ht="15.75" customHeight="1">
      <c r="B814" s="13"/>
      <c r="C814" s="13"/>
      <c r="D814" s="13"/>
      <c r="E814" s="13"/>
      <c r="F814" s="13"/>
    </row>
    <row r="815" ht="15.75" customHeight="1">
      <c r="B815" s="13"/>
      <c r="C815" s="13"/>
      <c r="D815" s="13"/>
      <c r="E815" s="13"/>
      <c r="F815" s="13"/>
    </row>
    <row r="816" ht="15.75" customHeight="1">
      <c r="B816" s="13"/>
      <c r="C816" s="13"/>
      <c r="D816" s="13"/>
      <c r="E816" s="13"/>
      <c r="F816" s="13"/>
    </row>
    <row r="817" ht="15.75" customHeight="1">
      <c r="B817" s="13"/>
      <c r="C817" s="13"/>
      <c r="D817" s="13"/>
      <c r="E817" s="13"/>
      <c r="F817" s="13"/>
    </row>
    <row r="818" ht="15.75" customHeight="1">
      <c r="B818" s="13"/>
      <c r="C818" s="13"/>
      <c r="D818" s="13"/>
      <c r="E818" s="13"/>
      <c r="F818" s="13"/>
    </row>
    <row r="819" ht="15.75" customHeight="1">
      <c r="B819" s="13"/>
      <c r="C819" s="13"/>
      <c r="D819" s="13"/>
      <c r="E819" s="13"/>
      <c r="F819" s="13"/>
    </row>
    <row r="820" ht="15.75" customHeight="1">
      <c r="B820" s="13"/>
      <c r="C820" s="13"/>
      <c r="D820" s="13"/>
      <c r="E820" s="13"/>
      <c r="F820" s="13"/>
    </row>
    <row r="821" ht="15.75" customHeight="1">
      <c r="B821" s="13"/>
      <c r="C821" s="13"/>
      <c r="D821" s="13"/>
      <c r="E821" s="13"/>
      <c r="F821" s="13"/>
    </row>
    <row r="822" ht="15.75" customHeight="1">
      <c r="B822" s="13"/>
      <c r="C822" s="13"/>
      <c r="D822" s="13"/>
      <c r="E822" s="13"/>
      <c r="F822" s="13"/>
    </row>
    <row r="823" ht="15.75" customHeight="1">
      <c r="B823" s="13"/>
      <c r="C823" s="13"/>
      <c r="D823" s="13"/>
      <c r="E823" s="13"/>
      <c r="F823" s="13"/>
    </row>
    <row r="824" ht="15.75" customHeight="1">
      <c r="B824" s="13"/>
      <c r="C824" s="13"/>
      <c r="D824" s="13"/>
      <c r="E824" s="13"/>
      <c r="F824" s="13"/>
    </row>
    <row r="825" ht="15.75" customHeight="1">
      <c r="B825" s="13"/>
      <c r="C825" s="13"/>
      <c r="D825" s="13"/>
      <c r="E825" s="13"/>
      <c r="F825" s="13"/>
    </row>
    <row r="826" ht="15.75" customHeight="1">
      <c r="B826" s="13"/>
      <c r="C826" s="13"/>
      <c r="D826" s="13"/>
      <c r="E826" s="13"/>
      <c r="F826" s="13"/>
    </row>
    <row r="827" ht="15.75" customHeight="1">
      <c r="B827" s="13"/>
      <c r="C827" s="13"/>
      <c r="D827" s="13"/>
      <c r="E827" s="13"/>
      <c r="F827" s="13"/>
    </row>
    <row r="828" ht="15.75" customHeight="1">
      <c r="B828" s="13"/>
      <c r="C828" s="13"/>
      <c r="D828" s="13"/>
      <c r="E828" s="13"/>
      <c r="F828" s="13"/>
    </row>
    <row r="829" ht="15.75" customHeight="1">
      <c r="B829" s="13"/>
      <c r="C829" s="13"/>
      <c r="D829" s="13"/>
      <c r="E829" s="13"/>
      <c r="F829" s="13"/>
    </row>
    <row r="830" ht="15.75" customHeight="1">
      <c r="B830" s="13"/>
      <c r="C830" s="13"/>
      <c r="D830" s="13"/>
      <c r="E830" s="13"/>
      <c r="F830" s="13"/>
    </row>
    <row r="831" ht="15.75" customHeight="1">
      <c r="B831" s="13"/>
      <c r="C831" s="13"/>
      <c r="D831" s="13"/>
      <c r="E831" s="13"/>
      <c r="F831" s="13"/>
    </row>
    <row r="832" ht="15.75" customHeight="1">
      <c r="B832" s="13"/>
      <c r="C832" s="13"/>
      <c r="D832" s="13"/>
      <c r="E832" s="13"/>
      <c r="F832" s="13"/>
    </row>
    <row r="833" ht="15.75" customHeight="1">
      <c r="B833" s="13"/>
      <c r="C833" s="13"/>
      <c r="D833" s="13"/>
      <c r="E833" s="13"/>
      <c r="F833" s="13"/>
    </row>
    <row r="834" ht="15.75" customHeight="1">
      <c r="B834" s="13"/>
      <c r="C834" s="13"/>
      <c r="D834" s="13"/>
      <c r="E834" s="13"/>
      <c r="F834" s="13"/>
    </row>
    <row r="835" ht="15.75" customHeight="1">
      <c r="B835" s="13"/>
      <c r="C835" s="13"/>
      <c r="D835" s="13"/>
      <c r="E835" s="13"/>
      <c r="F835" s="13"/>
    </row>
    <row r="836" ht="15.75" customHeight="1">
      <c r="B836" s="13"/>
      <c r="C836" s="13"/>
      <c r="D836" s="13"/>
      <c r="E836" s="13"/>
      <c r="F836" s="13"/>
    </row>
    <row r="837" ht="15.75" customHeight="1">
      <c r="B837" s="13"/>
      <c r="C837" s="13"/>
      <c r="D837" s="13"/>
      <c r="E837" s="13"/>
      <c r="F837" s="13"/>
    </row>
    <row r="838" ht="15.75" customHeight="1">
      <c r="B838" s="13"/>
      <c r="C838" s="13"/>
      <c r="D838" s="13"/>
      <c r="E838" s="13"/>
      <c r="F838" s="13"/>
    </row>
    <row r="839" ht="15.75" customHeight="1">
      <c r="B839" s="13"/>
      <c r="C839" s="13"/>
      <c r="D839" s="13"/>
      <c r="E839" s="13"/>
      <c r="F839" s="13"/>
    </row>
    <row r="840" ht="15.75" customHeight="1">
      <c r="B840" s="13"/>
      <c r="C840" s="13"/>
      <c r="D840" s="13"/>
      <c r="E840" s="13"/>
      <c r="F840" s="13"/>
    </row>
    <row r="841" ht="15.75" customHeight="1">
      <c r="B841" s="13"/>
      <c r="C841" s="13"/>
      <c r="D841" s="13"/>
      <c r="E841" s="13"/>
      <c r="F841" s="13"/>
    </row>
    <row r="842" ht="15.75" customHeight="1">
      <c r="B842" s="13"/>
      <c r="C842" s="13"/>
      <c r="D842" s="13"/>
      <c r="E842" s="13"/>
      <c r="F842" s="13"/>
    </row>
    <row r="843" ht="15.75" customHeight="1">
      <c r="B843" s="13"/>
      <c r="C843" s="13"/>
      <c r="D843" s="13"/>
      <c r="E843" s="13"/>
      <c r="F843" s="13"/>
    </row>
    <row r="844" ht="15.75" customHeight="1">
      <c r="B844" s="13"/>
      <c r="C844" s="13"/>
      <c r="D844" s="13"/>
      <c r="E844" s="13"/>
      <c r="F844" s="13"/>
    </row>
    <row r="845" ht="15.75" customHeight="1">
      <c r="B845" s="13"/>
      <c r="C845" s="13"/>
      <c r="D845" s="13"/>
      <c r="E845" s="13"/>
      <c r="F845" s="13"/>
    </row>
    <row r="846" ht="15.75" customHeight="1">
      <c r="B846" s="13"/>
      <c r="C846" s="13"/>
      <c r="D846" s="13"/>
      <c r="E846" s="13"/>
      <c r="F846" s="13"/>
    </row>
    <row r="847" ht="15.75" customHeight="1">
      <c r="B847" s="13"/>
      <c r="C847" s="13"/>
      <c r="D847" s="13"/>
      <c r="E847" s="13"/>
      <c r="F847" s="13"/>
    </row>
    <row r="848" ht="15.75" customHeight="1">
      <c r="B848" s="13"/>
      <c r="C848" s="13"/>
      <c r="D848" s="13"/>
      <c r="E848" s="13"/>
      <c r="F848" s="13"/>
    </row>
    <row r="849" ht="15.75" customHeight="1">
      <c r="B849" s="13"/>
      <c r="C849" s="13"/>
      <c r="D849" s="13"/>
      <c r="E849" s="13"/>
      <c r="F849" s="13"/>
    </row>
    <row r="850" ht="15.75" customHeight="1">
      <c r="B850" s="13"/>
      <c r="C850" s="13"/>
      <c r="D850" s="13"/>
      <c r="E850" s="13"/>
      <c r="F850" s="13"/>
    </row>
    <row r="851" ht="15.75" customHeight="1">
      <c r="B851" s="13"/>
      <c r="C851" s="13"/>
      <c r="D851" s="13"/>
      <c r="E851" s="13"/>
      <c r="F851" s="13"/>
    </row>
    <row r="852" ht="15.75" customHeight="1">
      <c r="B852" s="13"/>
      <c r="C852" s="13"/>
      <c r="D852" s="13"/>
      <c r="E852" s="13"/>
      <c r="F852" s="13"/>
    </row>
    <row r="853" ht="15.75" customHeight="1">
      <c r="B853" s="13"/>
      <c r="C853" s="13"/>
      <c r="D853" s="13"/>
      <c r="E853" s="13"/>
      <c r="F853" s="13"/>
    </row>
    <row r="854" ht="15.75" customHeight="1">
      <c r="B854" s="13"/>
      <c r="C854" s="13"/>
      <c r="D854" s="13"/>
      <c r="E854" s="13"/>
      <c r="F854" s="13"/>
    </row>
    <row r="855" ht="15.75" customHeight="1">
      <c r="B855" s="13"/>
      <c r="C855" s="13"/>
      <c r="D855" s="13"/>
      <c r="E855" s="13"/>
      <c r="F855" s="13"/>
    </row>
    <row r="856" ht="15.75" customHeight="1">
      <c r="B856" s="13"/>
      <c r="C856" s="13"/>
      <c r="D856" s="13"/>
      <c r="E856" s="13"/>
      <c r="F856" s="13"/>
    </row>
    <row r="857" ht="15.75" customHeight="1">
      <c r="B857" s="13"/>
      <c r="C857" s="13"/>
      <c r="D857" s="13"/>
      <c r="E857" s="13"/>
      <c r="F857" s="13"/>
    </row>
    <row r="858" ht="15.75" customHeight="1">
      <c r="B858" s="13"/>
      <c r="C858" s="13"/>
      <c r="D858" s="13"/>
      <c r="E858" s="13"/>
      <c r="F858" s="13"/>
    </row>
    <row r="859" ht="15.75" customHeight="1">
      <c r="B859" s="13"/>
      <c r="C859" s="13"/>
      <c r="D859" s="13"/>
      <c r="E859" s="13"/>
      <c r="F859" s="13"/>
    </row>
    <row r="860" ht="15.75" customHeight="1">
      <c r="B860" s="13"/>
      <c r="C860" s="13"/>
      <c r="D860" s="13"/>
      <c r="E860" s="13"/>
      <c r="F860" s="13"/>
    </row>
    <row r="861" ht="15.75" customHeight="1">
      <c r="B861" s="13"/>
      <c r="C861" s="13"/>
      <c r="D861" s="13"/>
      <c r="E861" s="13"/>
      <c r="F861" s="13"/>
    </row>
    <row r="862" ht="15.75" customHeight="1">
      <c r="B862" s="13"/>
      <c r="C862" s="13"/>
      <c r="D862" s="13"/>
      <c r="E862" s="13"/>
      <c r="F862" s="13"/>
    </row>
    <row r="863" ht="15.75" customHeight="1">
      <c r="B863" s="13"/>
      <c r="C863" s="13"/>
      <c r="D863" s="13"/>
      <c r="E863" s="13"/>
      <c r="F863" s="13"/>
    </row>
    <row r="864" ht="15.75" customHeight="1">
      <c r="B864" s="13"/>
      <c r="C864" s="13"/>
      <c r="D864" s="13"/>
      <c r="E864" s="13"/>
      <c r="F864" s="13"/>
    </row>
    <row r="865" ht="15.75" customHeight="1">
      <c r="B865" s="13"/>
      <c r="C865" s="13"/>
      <c r="D865" s="13"/>
      <c r="E865" s="13"/>
      <c r="F865" s="13"/>
    </row>
    <row r="866" ht="15.75" customHeight="1">
      <c r="B866" s="13"/>
      <c r="C866" s="13"/>
      <c r="D866" s="13"/>
      <c r="E866" s="13"/>
      <c r="F866" s="13"/>
    </row>
    <row r="867" ht="15.75" customHeight="1">
      <c r="B867" s="13"/>
      <c r="C867" s="13"/>
      <c r="D867" s="13"/>
      <c r="E867" s="13"/>
      <c r="F867" s="13"/>
    </row>
    <row r="868" ht="15.75" customHeight="1">
      <c r="B868" s="13"/>
      <c r="C868" s="13"/>
      <c r="D868" s="13"/>
      <c r="E868" s="13"/>
      <c r="F868" s="13"/>
    </row>
    <row r="869" ht="15.75" customHeight="1">
      <c r="B869" s="13"/>
      <c r="C869" s="13"/>
      <c r="D869" s="13"/>
      <c r="E869" s="13"/>
      <c r="F869" s="13"/>
    </row>
    <row r="870" ht="15.75" customHeight="1">
      <c r="B870" s="13"/>
      <c r="C870" s="13"/>
      <c r="D870" s="13"/>
      <c r="E870" s="13"/>
      <c r="F870" s="13"/>
    </row>
    <row r="871" ht="15.75" customHeight="1">
      <c r="B871" s="13"/>
      <c r="C871" s="13"/>
      <c r="D871" s="13"/>
      <c r="E871" s="13"/>
      <c r="F871" s="13"/>
    </row>
    <row r="872" ht="15.75" customHeight="1">
      <c r="B872" s="13"/>
      <c r="C872" s="13"/>
      <c r="D872" s="13"/>
      <c r="E872" s="13"/>
      <c r="F872" s="13"/>
    </row>
    <row r="873" ht="15.75" customHeight="1">
      <c r="B873" s="13"/>
      <c r="C873" s="13"/>
      <c r="D873" s="13"/>
      <c r="E873" s="13"/>
      <c r="F873" s="13"/>
    </row>
    <row r="874" ht="15.75" customHeight="1">
      <c r="B874" s="13"/>
      <c r="C874" s="13"/>
      <c r="D874" s="13"/>
      <c r="E874" s="13"/>
      <c r="F874" s="13"/>
    </row>
    <row r="875" ht="15.75" customHeight="1">
      <c r="B875" s="13"/>
      <c r="C875" s="13"/>
      <c r="D875" s="13"/>
      <c r="E875" s="13"/>
      <c r="F875" s="13"/>
    </row>
    <row r="876" ht="15.75" customHeight="1">
      <c r="B876" s="13"/>
      <c r="C876" s="13"/>
      <c r="D876" s="13"/>
      <c r="E876" s="13"/>
      <c r="F876" s="13"/>
    </row>
    <row r="877" ht="15.75" customHeight="1">
      <c r="B877" s="13"/>
      <c r="C877" s="13"/>
      <c r="D877" s="13"/>
      <c r="E877" s="13"/>
      <c r="F877" s="13"/>
    </row>
    <row r="878" ht="15.75" customHeight="1">
      <c r="B878" s="13"/>
      <c r="C878" s="13"/>
      <c r="D878" s="13"/>
      <c r="E878" s="13"/>
      <c r="F878" s="13"/>
    </row>
    <row r="879" ht="15.75" customHeight="1">
      <c r="B879" s="13"/>
      <c r="C879" s="13"/>
      <c r="D879" s="13"/>
      <c r="E879" s="13"/>
      <c r="F879" s="13"/>
    </row>
    <row r="880" ht="15.75" customHeight="1">
      <c r="B880" s="13"/>
      <c r="C880" s="13"/>
      <c r="D880" s="13"/>
      <c r="E880" s="13"/>
      <c r="F880" s="13"/>
    </row>
    <row r="881" ht="15.75" customHeight="1">
      <c r="B881" s="13"/>
      <c r="C881" s="13"/>
      <c r="D881" s="13"/>
      <c r="E881" s="13"/>
      <c r="F881" s="13"/>
    </row>
    <row r="882" ht="15.75" customHeight="1">
      <c r="B882" s="13"/>
      <c r="C882" s="13"/>
      <c r="D882" s="13"/>
      <c r="E882" s="13"/>
      <c r="F882" s="13"/>
    </row>
    <row r="883" ht="15.75" customHeight="1">
      <c r="B883" s="13"/>
      <c r="C883" s="13"/>
      <c r="D883" s="13"/>
      <c r="E883" s="13"/>
      <c r="F883" s="13"/>
    </row>
    <row r="884" ht="15.75" customHeight="1">
      <c r="B884" s="13"/>
      <c r="C884" s="13"/>
      <c r="D884" s="13"/>
      <c r="E884" s="13"/>
      <c r="F884" s="13"/>
    </row>
    <row r="885" ht="15.75" customHeight="1">
      <c r="B885" s="13"/>
      <c r="C885" s="13"/>
      <c r="D885" s="13"/>
      <c r="E885" s="13"/>
      <c r="F885" s="13"/>
    </row>
    <row r="886" ht="15.75" customHeight="1">
      <c r="B886" s="13"/>
      <c r="C886" s="13"/>
      <c r="D886" s="13"/>
      <c r="E886" s="13"/>
      <c r="F886" s="13"/>
    </row>
    <row r="887" ht="15.75" customHeight="1">
      <c r="B887" s="13"/>
      <c r="C887" s="13"/>
      <c r="D887" s="13"/>
      <c r="E887" s="13"/>
      <c r="F887" s="13"/>
    </row>
    <row r="888" ht="15.75" customHeight="1">
      <c r="B888" s="13"/>
      <c r="C888" s="13"/>
      <c r="D888" s="13"/>
      <c r="E888" s="13"/>
      <c r="F888" s="13"/>
    </row>
    <row r="889" ht="15.75" customHeight="1">
      <c r="B889" s="13"/>
      <c r="C889" s="13"/>
      <c r="D889" s="13"/>
      <c r="E889" s="13"/>
      <c r="F889" s="13"/>
    </row>
    <row r="890" ht="15.75" customHeight="1">
      <c r="B890" s="13"/>
      <c r="C890" s="13"/>
      <c r="D890" s="13"/>
      <c r="E890" s="13"/>
      <c r="F890" s="13"/>
    </row>
    <row r="891" ht="15.75" customHeight="1">
      <c r="B891" s="13"/>
      <c r="C891" s="13"/>
      <c r="D891" s="13"/>
      <c r="E891" s="13"/>
      <c r="F891" s="13"/>
    </row>
    <row r="892" ht="15.75" customHeight="1">
      <c r="B892" s="13"/>
      <c r="C892" s="13"/>
      <c r="D892" s="13"/>
      <c r="E892" s="13"/>
      <c r="F892" s="13"/>
    </row>
    <row r="893" ht="15.75" customHeight="1">
      <c r="B893" s="13"/>
      <c r="C893" s="13"/>
      <c r="D893" s="13"/>
      <c r="E893" s="13"/>
      <c r="F893" s="13"/>
    </row>
    <row r="894" ht="15.75" customHeight="1">
      <c r="B894" s="13"/>
      <c r="C894" s="13"/>
      <c r="D894" s="13"/>
      <c r="E894" s="13"/>
      <c r="F894" s="13"/>
    </row>
    <row r="895" ht="15.75" customHeight="1">
      <c r="B895" s="13"/>
      <c r="C895" s="13"/>
      <c r="D895" s="13"/>
      <c r="E895" s="13"/>
      <c r="F895" s="13"/>
    </row>
    <row r="896" ht="15.75" customHeight="1">
      <c r="B896" s="13"/>
      <c r="C896" s="13"/>
      <c r="D896" s="13"/>
      <c r="E896" s="13"/>
      <c r="F896" s="13"/>
    </row>
    <row r="897" ht="15.75" customHeight="1">
      <c r="B897" s="13"/>
      <c r="C897" s="13"/>
      <c r="D897" s="13"/>
      <c r="E897" s="13"/>
      <c r="F897" s="13"/>
    </row>
    <row r="898" ht="15.75" customHeight="1">
      <c r="B898" s="13"/>
      <c r="C898" s="13"/>
      <c r="D898" s="13"/>
      <c r="E898" s="13"/>
      <c r="F898" s="13"/>
    </row>
    <row r="899" ht="15.75" customHeight="1">
      <c r="B899" s="13"/>
      <c r="C899" s="13"/>
      <c r="D899" s="13"/>
      <c r="E899" s="13"/>
      <c r="F899" s="13"/>
    </row>
    <row r="900" ht="15.75" customHeight="1">
      <c r="B900" s="13"/>
      <c r="C900" s="13"/>
      <c r="D900" s="13"/>
      <c r="E900" s="13"/>
      <c r="F900" s="13"/>
    </row>
    <row r="901" ht="15.75" customHeight="1">
      <c r="B901" s="13"/>
      <c r="C901" s="13"/>
      <c r="D901" s="13"/>
      <c r="E901" s="13"/>
      <c r="F901" s="13"/>
    </row>
    <row r="902" ht="15.75" customHeight="1">
      <c r="B902" s="13"/>
      <c r="C902" s="13"/>
      <c r="D902" s="13"/>
      <c r="E902" s="13"/>
      <c r="F902" s="13"/>
    </row>
    <row r="903" ht="15.75" customHeight="1">
      <c r="B903" s="13"/>
      <c r="C903" s="13"/>
      <c r="D903" s="13"/>
      <c r="E903" s="13"/>
      <c r="F903" s="13"/>
    </row>
    <row r="904" ht="15.75" customHeight="1">
      <c r="B904" s="13"/>
      <c r="C904" s="13"/>
      <c r="D904" s="13"/>
      <c r="E904" s="13"/>
      <c r="F904" s="13"/>
    </row>
    <row r="905" ht="15.75" customHeight="1">
      <c r="B905" s="13"/>
      <c r="C905" s="13"/>
      <c r="D905" s="13"/>
      <c r="E905" s="13"/>
      <c r="F905" s="13"/>
    </row>
    <row r="906" ht="15.75" customHeight="1">
      <c r="B906" s="13"/>
      <c r="C906" s="13"/>
      <c r="D906" s="13"/>
      <c r="E906" s="13"/>
      <c r="F906" s="13"/>
    </row>
    <row r="907" ht="15.75" customHeight="1">
      <c r="B907" s="13"/>
      <c r="C907" s="13"/>
      <c r="D907" s="13"/>
      <c r="E907" s="13"/>
      <c r="F907" s="13"/>
    </row>
    <row r="908" ht="15.75" customHeight="1">
      <c r="B908" s="13"/>
      <c r="C908" s="13"/>
      <c r="D908" s="13"/>
      <c r="E908" s="13"/>
      <c r="F908" s="13"/>
    </row>
    <row r="909" ht="15.75" customHeight="1">
      <c r="B909" s="13"/>
      <c r="C909" s="13"/>
      <c r="D909" s="13"/>
      <c r="E909" s="13"/>
      <c r="F909" s="13"/>
    </row>
    <row r="910" ht="15.75" customHeight="1">
      <c r="B910" s="13"/>
      <c r="C910" s="13"/>
      <c r="D910" s="13"/>
      <c r="E910" s="13"/>
      <c r="F910" s="13"/>
    </row>
    <row r="911" ht="15.75" customHeight="1">
      <c r="B911" s="13"/>
      <c r="C911" s="13"/>
      <c r="D911" s="13"/>
      <c r="E911" s="13"/>
      <c r="F911" s="13"/>
    </row>
    <row r="912" ht="15.75" customHeight="1">
      <c r="B912" s="13"/>
      <c r="C912" s="13"/>
      <c r="D912" s="13"/>
      <c r="E912" s="13"/>
      <c r="F912" s="13"/>
    </row>
    <row r="913" ht="15.75" customHeight="1">
      <c r="B913" s="13"/>
      <c r="C913" s="13"/>
      <c r="D913" s="13"/>
      <c r="E913" s="13"/>
      <c r="F913" s="13"/>
    </row>
    <row r="914" ht="15.75" customHeight="1">
      <c r="B914" s="13"/>
      <c r="C914" s="13"/>
      <c r="D914" s="13"/>
      <c r="E914" s="13"/>
      <c r="F914" s="13"/>
    </row>
    <row r="915" ht="15.75" customHeight="1">
      <c r="B915" s="13"/>
      <c r="C915" s="13"/>
      <c r="D915" s="13"/>
      <c r="E915" s="13"/>
      <c r="F915" s="13"/>
    </row>
    <row r="916" ht="15.75" customHeight="1">
      <c r="B916" s="13"/>
      <c r="C916" s="13"/>
      <c r="D916" s="13"/>
      <c r="E916" s="13"/>
      <c r="F916" s="13"/>
    </row>
    <row r="917" ht="15.75" customHeight="1">
      <c r="B917" s="13"/>
      <c r="C917" s="13"/>
      <c r="D917" s="13"/>
      <c r="E917" s="13"/>
      <c r="F917" s="13"/>
    </row>
    <row r="918" ht="15.75" customHeight="1">
      <c r="B918" s="13"/>
      <c r="C918" s="13"/>
      <c r="D918" s="13"/>
      <c r="E918" s="13"/>
      <c r="F918" s="13"/>
    </row>
    <row r="919" ht="15.75" customHeight="1">
      <c r="B919" s="13"/>
      <c r="C919" s="13"/>
      <c r="D919" s="13"/>
      <c r="E919" s="13"/>
      <c r="F919" s="13"/>
    </row>
    <row r="920" ht="15.75" customHeight="1">
      <c r="B920" s="13"/>
      <c r="C920" s="13"/>
      <c r="D920" s="13"/>
      <c r="E920" s="13"/>
      <c r="F920" s="13"/>
    </row>
    <row r="921" ht="15.75" customHeight="1">
      <c r="B921" s="13"/>
      <c r="C921" s="13"/>
      <c r="D921" s="13"/>
      <c r="E921" s="13"/>
      <c r="F921" s="13"/>
    </row>
    <row r="922" ht="15.75" customHeight="1">
      <c r="B922" s="13"/>
      <c r="C922" s="13"/>
      <c r="D922" s="13"/>
      <c r="E922" s="13"/>
      <c r="F922" s="13"/>
    </row>
    <row r="923" ht="15.75" customHeight="1">
      <c r="B923" s="13"/>
      <c r="C923" s="13"/>
      <c r="D923" s="13"/>
      <c r="E923" s="13"/>
      <c r="F923" s="13"/>
    </row>
    <row r="924" ht="15.75" customHeight="1">
      <c r="B924" s="13"/>
      <c r="C924" s="13"/>
      <c r="D924" s="13"/>
      <c r="E924" s="13"/>
      <c r="F924" s="13"/>
    </row>
    <row r="925" ht="15.75" customHeight="1">
      <c r="B925" s="13"/>
      <c r="C925" s="13"/>
      <c r="D925" s="13"/>
      <c r="E925" s="13"/>
      <c r="F925" s="13"/>
    </row>
    <row r="926" ht="15.75" customHeight="1">
      <c r="B926" s="13"/>
      <c r="C926" s="13"/>
      <c r="D926" s="13"/>
      <c r="E926" s="13"/>
      <c r="F926" s="13"/>
    </row>
    <row r="927" ht="15.75" customHeight="1">
      <c r="B927" s="13"/>
      <c r="C927" s="13"/>
      <c r="D927" s="13"/>
      <c r="E927" s="13"/>
      <c r="F927" s="13"/>
    </row>
    <row r="928" ht="15.75" customHeight="1">
      <c r="B928" s="13"/>
      <c r="C928" s="13"/>
      <c r="D928" s="13"/>
      <c r="E928" s="13"/>
      <c r="F928" s="13"/>
    </row>
    <row r="929" ht="15.75" customHeight="1">
      <c r="B929" s="13"/>
      <c r="C929" s="13"/>
      <c r="D929" s="13"/>
      <c r="E929" s="13"/>
      <c r="F929" s="13"/>
    </row>
    <row r="930" ht="15.75" customHeight="1">
      <c r="B930" s="13"/>
      <c r="C930" s="13"/>
      <c r="D930" s="13"/>
      <c r="E930" s="13"/>
      <c r="F930" s="13"/>
    </row>
    <row r="931" ht="15.75" customHeight="1">
      <c r="B931" s="13"/>
      <c r="C931" s="13"/>
      <c r="D931" s="13"/>
      <c r="E931" s="13"/>
      <c r="F931" s="13"/>
    </row>
    <row r="932" ht="15.75" customHeight="1">
      <c r="B932" s="13"/>
      <c r="C932" s="13"/>
      <c r="D932" s="13"/>
      <c r="E932" s="13"/>
      <c r="F932" s="13"/>
    </row>
    <row r="933" ht="15.75" customHeight="1">
      <c r="B933" s="13"/>
      <c r="C933" s="13"/>
      <c r="D933" s="13"/>
      <c r="E933" s="13"/>
      <c r="F933" s="13"/>
    </row>
    <row r="934" ht="15.75" customHeight="1">
      <c r="B934" s="13"/>
      <c r="C934" s="13"/>
      <c r="D934" s="13"/>
      <c r="E934" s="13"/>
      <c r="F934" s="13"/>
    </row>
    <row r="935" ht="15.75" customHeight="1">
      <c r="B935" s="13"/>
      <c r="C935" s="13"/>
      <c r="D935" s="13"/>
      <c r="E935" s="13"/>
      <c r="F935" s="13"/>
    </row>
    <row r="936" ht="15.75" customHeight="1">
      <c r="B936" s="13"/>
      <c r="C936" s="13"/>
      <c r="D936" s="13"/>
      <c r="E936" s="13"/>
      <c r="F936" s="13"/>
    </row>
    <row r="937" ht="15.75" customHeight="1">
      <c r="B937" s="13"/>
      <c r="C937" s="13"/>
      <c r="D937" s="13"/>
      <c r="E937" s="13"/>
      <c r="F937" s="13"/>
    </row>
    <row r="938" ht="15.75" customHeight="1">
      <c r="B938" s="13"/>
      <c r="C938" s="13"/>
      <c r="D938" s="13"/>
      <c r="E938" s="13"/>
      <c r="F938" s="13"/>
    </row>
    <row r="939" ht="15.75" customHeight="1">
      <c r="B939" s="13"/>
      <c r="C939" s="13"/>
      <c r="D939" s="13"/>
      <c r="E939" s="13"/>
      <c r="F939" s="13"/>
    </row>
    <row r="940" ht="15.75" customHeight="1">
      <c r="B940" s="13"/>
      <c r="C940" s="13"/>
      <c r="D940" s="13"/>
      <c r="E940" s="13"/>
      <c r="F940" s="13"/>
    </row>
    <row r="941" ht="15.75" customHeight="1">
      <c r="B941" s="13"/>
      <c r="C941" s="13"/>
      <c r="D941" s="13"/>
      <c r="E941" s="13"/>
      <c r="F941" s="13"/>
    </row>
    <row r="942" ht="15.75" customHeight="1">
      <c r="B942" s="13"/>
      <c r="C942" s="13"/>
      <c r="D942" s="13"/>
      <c r="E942" s="13"/>
      <c r="F942" s="13"/>
    </row>
    <row r="943" ht="15.75" customHeight="1">
      <c r="B943" s="13"/>
      <c r="C943" s="13"/>
      <c r="D943" s="13"/>
      <c r="E943" s="13"/>
      <c r="F943" s="13"/>
    </row>
    <row r="944" ht="15.75" customHeight="1">
      <c r="B944" s="13"/>
      <c r="C944" s="13"/>
      <c r="D944" s="13"/>
      <c r="E944" s="13"/>
      <c r="F944" s="13"/>
    </row>
    <row r="945" ht="15.75" customHeight="1">
      <c r="B945" s="13"/>
      <c r="C945" s="13"/>
      <c r="D945" s="13"/>
      <c r="E945" s="13"/>
      <c r="F945" s="13"/>
    </row>
    <row r="946" ht="15.75" customHeight="1">
      <c r="B946" s="13"/>
      <c r="C946" s="13"/>
      <c r="D946" s="13"/>
      <c r="E946" s="13"/>
      <c r="F946" s="13"/>
    </row>
    <row r="947" ht="15.75" customHeight="1">
      <c r="B947" s="13"/>
      <c r="C947" s="13"/>
      <c r="D947" s="13"/>
      <c r="E947" s="13"/>
      <c r="F947" s="13"/>
    </row>
    <row r="948" ht="15.75" customHeight="1">
      <c r="B948" s="13"/>
      <c r="C948" s="13"/>
      <c r="D948" s="13"/>
      <c r="E948" s="13"/>
      <c r="F948" s="13"/>
    </row>
    <row r="949" ht="15.75" customHeight="1">
      <c r="B949" s="13"/>
      <c r="C949" s="13"/>
      <c r="D949" s="13"/>
      <c r="E949" s="13"/>
      <c r="F949" s="13"/>
    </row>
    <row r="950" ht="15.75" customHeight="1">
      <c r="B950" s="13"/>
      <c r="C950" s="13"/>
      <c r="D950" s="13"/>
      <c r="E950" s="13"/>
      <c r="F950" s="13"/>
    </row>
    <row r="951" ht="15.75" customHeight="1">
      <c r="B951" s="13"/>
      <c r="C951" s="13"/>
      <c r="D951" s="13"/>
      <c r="E951" s="13"/>
      <c r="F951" s="13"/>
    </row>
    <row r="952" ht="15.75" customHeight="1">
      <c r="B952" s="13"/>
      <c r="C952" s="13"/>
      <c r="D952" s="13"/>
      <c r="E952" s="13"/>
      <c r="F952" s="13"/>
    </row>
    <row r="953" ht="15.75" customHeight="1">
      <c r="B953" s="13"/>
      <c r="C953" s="13"/>
      <c r="D953" s="13"/>
      <c r="E953" s="13"/>
      <c r="F953" s="13"/>
    </row>
    <row r="954" ht="15.75" customHeight="1">
      <c r="B954" s="13"/>
      <c r="C954" s="13"/>
      <c r="D954" s="13"/>
      <c r="E954" s="13"/>
      <c r="F954" s="13"/>
    </row>
    <row r="955" ht="15.75" customHeight="1">
      <c r="B955" s="13"/>
      <c r="C955" s="13"/>
      <c r="D955" s="13"/>
      <c r="E955" s="13"/>
      <c r="F955" s="13"/>
    </row>
    <row r="956" ht="15.75" customHeight="1">
      <c r="B956" s="13"/>
      <c r="C956" s="13"/>
      <c r="D956" s="13"/>
      <c r="E956" s="13"/>
      <c r="F956" s="13"/>
    </row>
    <row r="957" ht="15.75" customHeight="1">
      <c r="B957" s="13"/>
      <c r="C957" s="13"/>
      <c r="D957" s="13"/>
      <c r="E957" s="13"/>
      <c r="F957" s="13"/>
    </row>
    <row r="958" ht="15.75" customHeight="1">
      <c r="B958" s="13"/>
      <c r="C958" s="13"/>
      <c r="D958" s="13"/>
      <c r="E958" s="13"/>
      <c r="F958" s="13"/>
    </row>
    <row r="959" ht="15.75" customHeight="1">
      <c r="B959" s="13"/>
      <c r="C959" s="13"/>
      <c r="D959" s="13"/>
      <c r="E959" s="13"/>
      <c r="F959" s="13"/>
    </row>
    <row r="960" ht="15.75" customHeight="1">
      <c r="B960" s="13"/>
      <c r="C960" s="13"/>
      <c r="D960" s="13"/>
      <c r="E960" s="13"/>
      <c r="F960" s="13"/>
    </row>
    <row r="961" ht="15.75" customHeight="1">
      <c r="B961" s="13"/>
      <c r="C961" s="13"/>
      <c r="D961" s="13"/>
      <c r="E961" s="13"/>
      <c r="F961" s="13"/>
    </row>
    <row r="962" ht="15.75" customHeight="1">
      <c r="B962" s="13"/>
      <c r="C962" s="13"/>
      <c r="D962" s="13"/>
      <c r="E962" s="13"/>
      <c r="F962" s="13"/>
    </row>
    <row r="963" ht="15.75" customHeight="1">
      <c r="B963" s="13"/>
      <c r="C963" s="13"/>
      <c r="D963" s="13"/>
      <c r="E963" s="13"/>
      <c r="F963" s="13"/>
    </row>
    <row r="964" ht="15.75" customHeight="1">
      <c r="B964" s="13"/>
      <c r="C964" s="13"/>
      <c r="D964" s="13"/>
      <c r="E964" s="13"/>
      <c r="F964" s="13"/>
    </row>
    <row r="965" ht="15.75" customHeight="1">
      <c r="B965" s="13"/>
      <c r="C965" s="13"/>
      <c r="D965" s="13"/>
      <c r="E965" s="13"/>
      <c r="F965" s="13"/>
    </row>
    <row r="966" ht="15.75" customHeight="1">
      <c r="B966" s="13"/>
      <c r="C966" s="13"/>
      <c r="D966" s="13"/>
      <c r="E966" s="13"/>
      <c r="F966" s="13"/>
    </row>
    <row r="967" ht="15.75" customHeight="1">
      <c r="B967" s="13"/>
      <c r="C967" s="13"/>
      <c r="D967" s="13"/>
      <c r="E967" s="13"/>
      <c r="F967" s="13"/>
    </row>
    <row r="968" ht="15.75" customHeight="1">
      <c r="B968" s="13"/>
      <c r="C968" s="13"/>
      <c r="D968" s="13"/>
      <c r="E968" s="13"/>
      <c r="F968" s="13"/>
    </row>
    <row r="969" ht="15.75" customHeight="1">
      <c r="B969" s="13"/>
      <c r="C969" s="13"/>
      <c r="D969" s="13"/>
      <c r="E969" s="13"/>
      <c r="F969" s="13"/>
    </row>
    <row r="970" ht="15.75" customHeight="1">
      <c r="B970" s="13"/>
      <c r="C970" s="13"/>
      <c r="D970" s="13"/>
      <c r="E970" s="13"/>
      <c r="F970" s="13"/>
    </row>
    <row r="971" ht="15.75" customHeight="1">
      <c r="B971" s="13"/>
      <c r="C971" s="13"/>
      <c r="D971" s="13"/>
      <c r="E971" s="13"/>
      <c r="F971" s="13"/>
    </row>
    <row r="972" ht="15.75" customHeight="1">
      <c r="B972" s="13"/>
      <c r="C972" s="13"/>
      <c r="D972" s="13"/>
      <c r="E972" s="13"/>
      <c r="F972" s="13"/>
    </row>
    <row r="973" ht="15.75" customHeight="1">
      <c r="B973" s="13"/>
      <c r="C973" s="13"/>
      <c r="D973" s="13"/>
      <c r="E973" s="13"/>
      <c r="F973" s="13"/>
    </row>
    <row r="974" ht="15.75" customHeight="1">
      <c r="B974" s="13"/>
      <c r="C974" s="13"/>
      <c r="D974" s="13"/>
      <c r="E974" s="13"/>
      <c r="F974" s="13"/>
    </row>
    <row r="975" ht="15.75" customHeight="1">
      <c r="B975" s="13"/>
      <c r="C975" s="13"/>
      <c r="D975" s="13"/>
      <c r="E975" s="13"/>
      <c r="F975" s="13"/>
    </row>
    <row r="976" ht="15.75" customHeight="1">
      <c r="B976" s="13"/>
      <c r="C976" s="13"/>
      <c r="D976" s="13"/>
      <c r="E976" s="13"/>
      <c r="F976" s="13"/>
    </row>
    <row r="977" ht="15.75" customHeight="1">
      <c r="B977" s="13"/>
      <c r="C977" s="13"/>
      <c r="D977" s="13"/>
      <c r="E977" s="13"/>
      <c r="F977" s="13"/>
    </row>
    <row r="978" ht="15.75" customHeight="1">
      <c r="B978" s="13"/>
      <c r="C978" s="13"/>
      <c r="D978" s="13"/>
      <c r="E978" s="13"/>
      <c r="F978" s="13"/>
    </row>
    <row r="979" ht="15.75" customHeight="1">
      <c r="B979" s="13"/>
      <c r="C979" s="13"/>
      <c r="D979" s="13"/>
      <c r="E979" s="13"/>
      <c r="F979" s="13"/>
    </row>
    <row r="980" ht="15.75" customHeight="1">
      <c r="B980" s="13"/>
      <c r="C980" s="13"/>
      <c r="D980" s="13"/>
      <c r="E980" s="13"/>
      <c r="F980" s="13"/>
    </row>
    <row r="981" ht="15.75" customHeight="1">
      <c r="B981" s="13"/>
      <c r="C981" s="13"/>
      <c r="D981" s="13"/>
      <c r="E981" s="13"/>
      <c r="F981" s="13"/>
    </row>
    <row r="982" ht="15.75" customHeight="1">
      <c r="B982" s="13"/>
      <c r="C982" s="13"/>
      <c r="D982" s="13"/>
      <c r="E982" s="13"/>
      <c r="F982" s="13"/>
    </row>
    <row r="983" ht="15.75" customHeight="1">
      <c r="B983" s="13"/>
      <c r="C983" s="13"/>
      <c r="D983" s="13"/>
      <c r="E983" s="13"/>
      <c r="F983" s="13"/>
    </row>
    <row r="984" ht="15.75" customHeight="1">
      <c r="B984" s="13"/>
      <c r="C984" s="13"/>
      <c r="D984" s="13"/>
      <c r="E984" s="13"/>
      <c r="F984" s="13"/>
    </row>
    <row r="985" ht="15.75" customHeight="1">
      <c r="B985" s="13"/>
      <c r="C985" s="13"/>
      <c r="D985" s="13"/>
      <c r="E985" s="13"/>
      <c r="F985" s="13"/>
    </row>
    <row r="986" ht="15.75" customHeight="1">
      <c r="B986" s="13"/>
      <c r="C986" s="13"/>
      <c r="D986" s="13"/>
      <c r="E986" s="13"/>
      <c r="F986" s="13"/>
    </row>
    <row r="987" ht="15.75" customHeight="1">
      <c r="B987" s="13"/>
      <c r="C987" s="13"/>
      <c r="D987" s="13"/>
      <c r="E987" s="13"/>
      <c r="F987" s="13"/>
    </row>
    <row r="988" ht="15.75" customHeight="1">
      <c r="B988" s="13"/>
      <c r="C988" s="13"/>
      <c r="D988" s="13"/>
      <c r="E988" s="13"/>
      <c r="F988" s="13"/>
    </row>
    <row r="989" ht="15.75" customHeight="1">
      <c r="B989" s="13"/>
      <c r="C989" s="13"/>
      <c r="D989" s="13"/>
      <c r="E989" s="13"/>
      <c r="F989" s="13"/>
    </row>
    <row r="990" ht="15.75" customHeight="1">
      <c r="B990" s="13"/>
      <c r="C990" s="13"/>
      <c r="D990" s="13"/>
      <c r="E990" s="13"/>
      <c r="F990" s="13"/>
    </row>
    <row r="991" ht="15.75" customHeight="1">
      <c r="B991" s="13"/>
      <c r="C991" s="13"/>
      <c r="D991" s="13"/>
      <c r="E991" s="13"/>
      <c r="F991" s="13"/>
    </row>
    <row r="992" ht="15.75" customHeight="1">
      <c r="B992" s="13"/>
      <c r="C992" s="13"/>
      <c r="D992" s="13"/>
      <c r="E992" s="13"/>
      <c r="F992" s="13"/>
    </row>
    <row r="993" ht="15.75" customHeight="1">
      <c r="B993" s="13"/>
      <c r="C993" s="13"/>
      <c r="D993" s="13"/>
      <c r="E993" s="13"/>
      <c r="F993" s="13"/>
    </row>
    <row r="994" ht="15.75" customHeight="1">
      <c r="B994" s="13"/>
      <c r="C994" s="13"/>
      <c r="D994" s="13"/>
      <c r="E994" s="13"/>
      <c r="F994" s="13"/>
    </row>
    <row r="995" ht="15.75" customHeight="1">
      <c r="B995" s="13"/>
      <c r="C995" s="13"/>
      <c r="D995" s="13"/>
      <c r="E995" s="13"/>
      <c r="F995" s="13"/>
    </row>
    <row r="996" ht="15.75" customHeight="1">
      <c r="B996" s="13"/>
      <c r="C996" s="13"/>
      <c r="D996" s="13"/>
      <c r="E996" s="13"/>
      <c r="F996" s="13"/>
    </row>
    <row r="997" ht="15.75" customHeight="1">
      <c r="B997" s="13"/>
      <c r="C997" s="13"/>
      <c r="D997" s="13"/>
      <c r="E997" s="13"/>
      <c r="F997" s="13"/>
    </row>
    <row r="998" ht="15.75" customHeight="1">
      <c r="B998" s="13"/>
      <c r="C998" s="13"/>
      <c r="D998" s="13"/>
      <c r="E998" s="13"/>
      <c r="F998" s="13"/>
    </row>
    <row r="999" ht="15.75" customHeight="1">
      <c r="B999" s="13"/>
      <c r="C999" s="13"/>
      <c r="D999" s="13"/>
      <c r="E999" s="13"/>
      <c r="F999" s="13"/>
    </row>
    <row r="1000" ht="15.75" customHeight="1">
      <c r="B1000" s="13"/>
      <c r="C1000" s="13"/>
      <c r="D1000" s="13"/>
      <c r="E1000" s="13"/>
      <c r="F1000" s="13"/>
    </row>
  </sheetData>
  <printOptions/>
  <pageMargins bottom="1.0" footer="0.0" header="0.0" left="0.75" right="0.75" top="1.0"/>
  <pageSetup paperSize="9" orientation="portrait"/>
  <drawing r:id="rId1"/>
</worksheet>
</file>